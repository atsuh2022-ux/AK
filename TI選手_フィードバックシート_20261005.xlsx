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はじめに" sheetId="1" state="visible" r:id="rId3"/>
    <sheet name="① サマリー" sheetId="2" state="visible" r:id="rId4"/>
    <sheet name="② 日次統合データ" sheetId="3" state="visible" r:id="rId5"/>
    <sheet name="③ 食事バランス" sheetId="4" state="visible" r:id="rId6"/>
    <sheet name="④ トレンドグラフ" sheetId="5" state="visible" r:id="rId7"/>
    <sheet name="⑤ 関連性ヒント" sheetId="6" state="visible" r:id="rId8"/>
    <sheet name="データ_主観的体調" sheetId="7" state="visible" r:id="rId9"/>
    <sheet name="データ_身体データ" sheetId="8" state="visible" r:id="rId10"/>
    <sheet name="データ_トレーニング" sheetId="9" state="visible" r:id="rId11"/>
    <sheet name="データ_食事" sheetId="10" state="visible" r:id="rId12"/>
  </sheets>
  <definedNames>
    <definedName function="false" hidden="false" localSheetId="1" name="_xlnm.Print_Area" vbProcedure="false">'① サマリー'!$A$1:$H$48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<sst xmlns="http://schemas.openxmlformats.org/spreadsheetml/2006/main" count="1234" uniqueCount="321">
  <si>
    <r>
      <rPr>
        <b val="true"/>
        <sz val="14"/>
        <color rgb="FF2E75B6"/>
        <rFont val="WenQuanYi Zen Hei"/>
        <family val="2"/>
      </rPr>
      <t xml:space="preserve">選手フィードバックシート（</t>
    </r>
    <r>
      <rPr>
        <b val="true"/>
        <sz val="14"/>
        <color rgb="FF2E75B6"/>
        <rFont val="ＭＳ Ｐゴシック"/>
        <family val="0"/>
        <charset val="1"/>
      </rPr>
      <t xml:space="preserve">TI</t>
    </r>
    <r>
      <rPr>
        <b val="true"/>
        <sz val="14"/>
        <color rgb="FF2E75B6"/>
        <rFont val="WenQuanYi Zen Hei"/>
        <family val="2"/>
      </rPr>
      <t xml:space="preserve">選手 </t>
    </r>
    <r>
      <rPr>
        <b val="true"/>
        <sz val="14"/>
        <color rgb="FF2E75B6"/>
        <rFont val="ＭＳ Ｐゴシック"/>
        <family val="0"/>
        <charset val="1"/>
      </rPr>
      <t xml:space="preserve">2026/07/22</t>
    </r>
    <r>
      <rPr>
        <b val="true"/>
        <sz val="14"/>
        <color rgb="FF2E75B6"/>
        <rFont val="WenQuanYi Zen Hei"/>
        <family val="2"/>
      </rPr>
      <t xml:space="preserve">〜</t>
    </r>
    <r>
      <rPr>
        <b val="true"/>
        <sz val="14"/>
        <color rgb="FF2E75B6"/>
        <rFont val="ＭＳ Ｐゴシック"/>
        <family val="0"/>
        <charset val="1"/>
      </rPr>
      <t xml:space="preserve">2026/10/05</t>
    </r>
    <r>
      <rPr>
        <b val="true"/>
        <sz val="14"/>
        <color rgb="FF2E75B6"/>
        <rFont val="WenQuanYi Zen Hei"/>
        <family val="2"/>
      </rPr>
      <t xml:space="preserve">）</t>
    </r>
  </si>
  <si>
    <t xml:space="preserve">■ シート構成</t>
  </si>
  <si>
    <r>
      <rPr>
        <sz val="10"/>
        <rFont val="WenQuanYi Zen Hei"/>
        <family val="2"/>
      </rPr>
      <t xml:space="preserve">① サマリー       … 主要</t>
    </r>
    <r>
      <rPr>
        <sz val="10"/>
        <rFont val="ＭＳ Ｐゴシック"/>
        <family val="0"/>
        <charset val="1"/>
      </rPr>
      <t xml:space="preserve">KPI</t>
    </r>
    <r>
      <rPr>
        <sz val="10"/>
        <rFont val="WenQuanYi Zen Hei"/>
        <family val="2"/>
      </rPr>
      <t xml:space="preserve">（前期間 </t>
    </r>
    <r>
      <rPr>
        <sz val="10"/>
        <rFont val="ＭＳ Ｐゴシック"/>
        <family val="0"/>
        <charset val="1"/>
      </rPr>
      <t xml:space="preserve">3/30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5/22 </t>
    </r>
    <r>
      <rPr>
        <sz val="10"/>
        <rFont val="WenQuanYi Zen Hei"/>
        <family val="2"/>
      </rPr>
      <t xml:space="preserve">との比較つき）と、コーチ</t>
    </r>
    <r>
      <rPr>
        <sz val="10"/>
        <rFont val="ＭＳ Ｐゴシック"/>
        <family val="0"/>
        <charset val="1"/>
      </rPr>
      <t xml:space="preserve">/</t>
    </r>
    <r>
      <rPr>
        <sz val="10"/>
        <rFont val="WenQuanYi Zen Hei"/>
        <family val="2"/>
      </rPr>
      <t xml:space="preserve">選手の記入欄。これだけ印刷して渡しても</t>
    </r>
    <r>
      <rPr>
        <sz val="10"/>
        <rFont val="ＭＳ Ｐゴシック"/>
        <family val="0"/>
        <charset val="1"/>
      </rPr>
      <t xml:space="preserve">OK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</si>
  <si>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② 日次統合データ … 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項目を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行に統合した表。色分けで「悪い日」「良い日」が一目でわかる。</t>
    </r>
  </si>
  <si>
    <r>
      <rPr>
        <sz val="10"/>
        <rFont val="WenQuanYi Zen Hei"/>
        <family val="2"/>
      </rPr>
      <t xml:space="preserve">③ 食事バランス   … タンパク源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魚</t>
    </r>
    <r>
      <rPr>
        <sz val="10"/>
        <rFont val="ＭＳ Ｐゴシック"/>
        <family val="0"/>
        <charset val="1"/>
      </rPr>
      <t xml:space="preserve">/</t>
    </r>
    <r>
      <rPr>
        <sz val="10"/>
        <rFont val="WenQuanYi Zen Hei"/>
        <family val="2"/>
      </rPr>
      <t xml:space="preserve">肉</t>
    </r>
    <r>
      <rPr>
        <sz val="10"/>
        <rFont val="ＭＳ Ｐゴシック"/>
        <family val="0"/>
        <charset val="1"/>
      </rPr>
      <t xml:space="preserve">/</t>
    </r>
    <r>
      <rPr>
        <sz val="10"/>
        <rFont val="WenQuanYi Zen Hei"/>
        <family val="2"/>
      </rPr>
      <t xml:space="preserve">豆</t>
    </r>
    <r>
      <rPr>
        <sz val="10"/>
        <rFont val="ＭＳ Ｐゴシック"/>
        <family val="0"/>
        <charset val="1"/>
      </rPr>
      <t xml:space="preserve">/</t>
    </r>
    <r>
      <rPr>
        <sz val="10"/>
        <rFont val="WenQuanYi Zen Hei"/>
        <family val="2"/>
      </rPr>
      <t xml:space="preserve">卵</t>
    </r>
    <r>
      <rPr>
        <sz val="10"/>
        <rFont val="ＭＳ Ｐ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を昼夕別にカレンダー表示。偏りが視覚化される。</t>
    </r>
  </si>
  <si>
    <r>
      <rPr>
        <sz val="10"/>
        <rFont val="WenQuanYi Zen Hei"/>
        <family val="2"/>
      </rPr>
      <t xml:space="preserve">④ トレンドグラフ … 体重・</t>
    </r>
    <r>
      <rPr>
        <sz val="10"/>
        <rFont val="ＭＳ Ｐゴシック"/>
        <family val="0"/>
        <charset val="1"/>
      </rPr>
      <t xml:space="preserve">RPE/</t>
    </r>
    <r>
      <rPr>
        <sz val="10"/>
        <rFont val="WenQuanYi Zen Hei"/>
        <family val="2"/>
      </rPr>
      <t xml:space="preserve">疲労・睡眠・週間練習時間を時系列グラフで表示。会話のたたき台に。</t>
    </r>
  </si>
  <si>
    <r>
      <rPr>
        <sz val="10"/>
        <rFont val="WenQuanYi Zen Hei"/>
        <family val="2"/>
      </rPr>
      <t xml:space="preserve">⑤ 関連性ヒント   … 前回と同じ観点を今期間データで再計算し、前回との比較（再現したか）も表示。今期間の追加分析（暑さ・長時間練習など）は</t>
    </r>
    <r>
      <rPr>
        <sz val="10"/>
        <rFont val="ＭＳ Ｐゴシック"/>
        <family val="0"/>
        <charset val="1"/>
      </rPr>
      <t xml:space="preserve">Section D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</si>
  <si>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データ</t>
    </r>
    <r>
      <rPr>
        <sz val="10"/>
        <rFont val="ＭＳ Ｐゴシック"/>
        <family val="0"/>
        <charset val="1"/>
      </rPr>
      <t xml:space="preserve">_xxxx      … </t>
    </r>
    <r>
      <rPr>
        <sz val="10"/>
        <rFont val="WenQuanYi Zen Hei"/>
        <family val="2"/>
      </rPr>
      <t xml:space="preserve">アプリから出力した元データ（</t>
    </r>
    <r>
      <rPr>
        <sz val="10"/>
        <rFont val="ＭＳ Ｐゴシック"/>
        <family val="0"/>
        <charset val="1"/>
      </rPr>
      <t xml:space="preserve">7/22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10/5</t>
    </r>
    <r>
      <rPr>
        <sz val="10"/>
        <rFont val="WenQuanYi Zen Hei"/>
        <family val="2"/>
      </rPr>
      <t xml:space="preserve">）。</t>
    </r>
  </si>
  <si>
    <t xml:space="preserve">■ 今回の集計ルール（前回からの変更点）</t>
  </si>
  <si>
    <r>
      <rPr>
        <sz val="10"/>
        <rFont val="WenQuanYi Zen Hei"/>
        <family val="2"/>
      </rPr>
      <t xml:space="preserve">・今期間から「ウエイトトレーニング」が加わり、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日に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セッションある日（</t>
    </r>
    <r>
      <rPr>
        <sz val="10"/>
        <rFont val="ＭＳ Ｐゴシック"/>
        <family val="0"/>
        <charset val="1"/>
      </rPr>
      <t xml:space="preserve">7/24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7/27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9/3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9/10</t>
    </r>
    <r>
      <rPr>
        <sz val="10"/>
        <rFont val="WenQuanYi Zen Hei"/>
        <family val="2"/>
      </rPr>
      <t xml:space="preserve">）がある。</t>
    </r>
  </si>
  <si>
    <r>
      <rPr>
        <sz val="10"/>
        <rFont val="WenQuanYi Zen Hei"/>
        <family val="2"/>
      </rPr>
      <t xml:space="preserve">　② 日次統合データでは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行にまとめ、練習時間＝合計、</t>
    </r>
    <r>
      <rPr>
        <sz val="10"/>
        <rFont val="ＭＳ Ｐゴシック"/>
        <family val="0"/>
        <charset val="1"/>
      </rPr>
      <t xml:space="preserve">RPE</t>
    </r>
    <r>
      <rPr>
        <sz val="10"/>
        <rFont val="WenQuanYi Zen Hei"/>
        <family val="2"/>
      </rPr>
      <t xml:space="preserve">・運動後疲労＝その日の最大値、瞬発力・持久力＝実践トレーニングの値 としている。</t>
    </r>
  </si>
  <si>
    <r>
      <rPr>
        <sz val="10"/>
        <rFont val="WenQuanYi Zen Hei"/>
        <family val="2"/>
      </rPr>
      <t xml:space="preserve">・記録のない日（</t>
    </r>
    <r>
      <rPr>
        <sz val="10"/>
        <rFont val="ＭＳ Ｐゴシック"/>
        <family val="0"/>
        <charset val="1"/>
      </rPr>
      <t xml:space="preserve">8/3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8/5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8/10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8/19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8/21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10/1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10/3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10/5</t>
    </r>
    <r>
      <rPr>
        <sz val="10"/>
        <rFont val="WenQuanYi Zen Hei"/>
        <family val="2"/>
      </rPr>
      <t xml:space="preserve">）は集計対象外。期間</t>
    </r>
    <r>
      <rPr>
        <sz val="10"/>
        <rFont val="ＭＳ Ｐゴシック"/>
        <family val="0"/>
        <charset val="1"/>
      </rPr>
      <t xml:space="preserve">76</t>
    </r>
    <r>
      <rPr>
        <sz val="10"/>
        <rFont val="WenQuanYi Zen Hei"/>
        <family val="2"/>
      </rPr>
      <t xml:space="preserve">日のうち記録日数は</t>
    </r>
    <r>
      <rPr>
        <sz val="10"/>
        <rFont val="ＭＳ Ｐ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日。</t>
    </r>
  </si>
  <si>
    <r>
      <rPr>
        <sz val="10"/>
        <rFont val="WenQuanYi Zen Hei"/>
        <family val="2"/>
      </rPr>
      <t xml:space="preserve">・「翌日」の分析は、次の記録日（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日以内）を翌日として扱っている（</t>
    </r>
    <r>
      <rPr>
        <sz val="10"/>
        <rFont val="ＭＳ Ｐゴシック"/>
        <family val="0"/>
        <charset val="1"/>
      </rPr>
      <t xml:space="preserve">8/4→8/11</t>
    </r>
    <r>
      <rPr>
        <sz val="10"/>
        <rFont val="WenQuanYi Zen Hei"/>
        <family val="2"/>
      </rPr>
      <t xml:space="preserve">のような長い空白はまたがない）。</t>
    </r>
  </si>
  <si>
    <t xml:space="preserve">・平均値・日数は数式で②③データシートから自動計算（前期間の値は前回レポートの数値）。</t>
  </si>
  <si>
    <t xml:space="preserve">■ フィードバック設計の考え方</t>
  </si>
  <si>
    <r>
      <rPr>
        <sz val="10"/>
        <rFont val="WenQuanYi Zen Hei"/>
        <family val="2"/>
      </rPr>
      <t xml:space="preserve">・「データを見せる」のではなく「気づきと次の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アクション」につなげる。</t>
    </r>
  </si>
  <si>
    <r>
      <rPr>
        <sz val="10"/>
        <rFont val="WenQuanYi Zen Hei"/>
        <family val="2"/>
      </rPr>
      <t xml:space="preserve">・指摘より、よかった日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緑</t>
    </r>
    <r>
      <rPr>
        <sz val="10"/>
        <rFont val="ＭＳ Ｐ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を起点に「何が違ったか」を本人と一緒に発見する。</t>
    </r>
  </si>
  <si>
    <r>
      <rPr>
        <sz val="10"/>
        <rFont val="WenQuanYi Zen Hei"/>
        <family val="2"/>
      </rPr>
      <t xml:space="preserve">・改善提案は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期間につき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つだけ。複数同時はまず続かない。</t>
    </r>
  </si>
  <si>
    <t xml:space="preserve">・週次で確認し、月次で振り返るリズムが続けやすい。</t>
  </si>
  <si>
    <r>
      <rPr>
        <b val="true"/>
        <sz val="11"/>
        <color rgb="FF1F4E79"/>
        <rFont val="WenQuanYi Zen Hei"/>
        <family val="2"/>
      </rPr>
      <t xml:space="preserve">■ スコアの読み方</t>
    </r>
    <r>
      <rPr>
        <b val="true"/>
        <sz val="11"/>
        <color rgb="FF1F4E79"/>
        <rFont val="ＭＳ Ｐゴシック"/>
        <family val="0"/>
        <charset val="1"/>
      </rPr>
      <t xml:space="preserve">(</t>
    </r>
    <r>
      <rPr>
        <b val="true"/>
        <sz val="11"/>
        <color rgb="FF1F4E79"/>
        <rFont val="WenQuanYi Zen Hei"/>
        <family val="2"/>
      </rPr>
      <t xml:space="preserve">参考</t>
    </r>
    <r>
      <rPr>
        <b val="true"/>
        <sz val="11"/>
        <color rgb="FF1F4E79"/>
        <rFont val="ＭＳ Ｐゴシック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</si>
  <si>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RPE(1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10): </t>
    </r>
    <r>
      <rPr>
        <sz val="10"/>
        <rFont val="WenQuanYi Zen Hei"/>
        <family val="2"/>
      </rPr>
      <t xml:space="preserve">主観的運動強度。</t>
    </r>
    <r>
      <rPr>
        <sz val="10"/>
        <rFont val="ＭＳ Ｐ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7=</t>
    </r>
    <r>
      <rPr>
        <sz val="10"/>
        <rFont val="WenQuanYi Zen Hei"/>
        <family val="2"/>
      </rPr>
      <t xml:space="preserve">中強度、</t>
    </r>
    <r>
      <rPr>
        <sz val="10"/>
        <rFont val="ＭＳ Ｐ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以上</t>
    </r>
    <r>
      <rPr>
        <sz val="10"/>
        <rFont val="ＭＳ Ｐゴシック"/>
        <family val="0"/>
        <charset val="1"/>
      </rPr>
      <t xml:space="preserve">=</t>
    </r>
    <r>
      <rPr>
        <sz val="10"/>
        <rFont val="WenQuanYi Zen Hei"/>
        <family val="2"/>
      </rPr>
      <t xml:space="preserve">高強度。</t>
    </r>
  </si>
  <si>
    <r>
      <rPr>
        <sz val="10"/>
        <rFont val="WenQuanYi Zen Hei"/>
        <family val="2"/>
      </rPr>
      <t xml:space="preserve">・運動後疲労</t>
    </r>
    <r>
      <rPr>
        <sz val="10"/>
        <rFont val="ＭＳ Ｐゴシック"/>
        <family val="0"/>
        <charset val="1"/>
      </rPr>
      <t xml:space="preserve">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5): 5</t>
    </r>
    <r>
      <rPr>
        <sz val="10"/>
        <rFont val="WenQuanYi Zen Hei"/>
        <family val="2"/>
      </rPr>
      <t xml:space="preserve">に近いほど疲労が強い。</t>
    </r>
  </si>
  <si>
    <r>
      <rPr>
        <sz val="10"/>
        <rFont val="WenQuanYi Zen Hei"/>
        <family val="2"/>
      </rPr>
      <t xml:space="preserve">・瞬発力・持久力</t>
    </r>
    <r>
      <rPr>
        <sz val="10"/>
        <rFont val="ＭＳ Ｐゴシック"/>
        <family val="0"/>
        <charset val="1"/>
      </rPr>
      <t xml:space="preserve">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5): </t>
    </r>
    <r>
      <rPr>
        <sz val="10"/>
        <rFont val="WenQuanYi Zen Hei"/>
        <family val="2"/>
      </rPr>
      <t xml:space="preserve">大きいほど良好（その日の発揮の自己評価）。</t>
    </r>
  </si>
  <si>
    <r>
      <rPr>
        <sz val="10"/>
        <rFont val="WenQuanYi Zen Hei"/>
        <family val="2"/>
      </rPr>
      <t xml:space="preserve">・睡眠の質・起床時コンディション</t>
    </r>
    <r>
      <rPr>
        <sz val="10"/>
        <rFont val="ＭＳ Ｐゴシック"/>
        <family val="0"/>
        <charset val="1"/>
      </rPr>
      <t xml:space="preserve">: </t>
    </r>
    <r>
      <rPr>
        <sz val="10"/>
        <rFont val="WenQuanYi Zen Hei"/>
        <family val="2"/>
      </rPr>
      <t xml:space="preserve">数値が小さいほど良好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本データでの傾向</t>
    </r>
    <r>
      <rPr>
        <sz val="10"/>
        <rFont val="ＭＳ Ｐ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</si>
  <si>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・栄養バランス</t>
    </r>
    <r>
      <rPr>
        <sz val="10"/>
        <rFont val="ＭＳ Ｐゴシック"/>
        <family val="0"/>
        <charset val="1"/>
      </rPr>
      <t xml:space="preserve">: </t>
    </r>
    <r>
      <rPr>
        <sz val="10"/>
        <rFont val="WenQuanYi Zen Hei"/>
        <family val="2"/>
      </rPr>
      <t xml:space="preserve">入力規則に依存。アプリ仕様に合わせて読み替え。</t>
    </r>
  </si>
  <si>
    <r>
      <rPr>
        <b val="true"/>
        <sz val="18"/>
        <color rgb="FFFFFFFF"/>
        <rFont val="ＭＳ Ｐゴシック"/>
        <family val="0"/>
        <charset val="1"/>
      </rPr>
      <t xml:space="preserve">TI</t>
    </r>
    <r>
      <rPr>
        <b val="true"/>
        <sz val="18"/>
        <color rgb="FFFFFFFF"/>
        <rFont val="WenQuanYi Zen Hei"/>
        <family val="2"/>
      </rPr>
      <t xml:space="preserve">選手 フィードバックレポート</t>
    </r>
  </si>
  <si>
    <t xml:space="preserve">選手名</t>
  </si>
  <si>
    <r>
      <rPr>
        <b val="true"/>
        <sz val="12"/>
        <rFont val="ＭＳ Ｐゴシック"/>
        <family val="0"/>
        <charset val="1"/>
      </rPr>
      <t xml:space="preserve">TI</t>
    </r>
    <r>
      <rPr>
        <b val="true"/>
        <sz val="12"/>
        <rFont val="WenQuanYi Zen Hei"/>
        <family val="2"/>
      </rPr>
      <t xml:space="preserve">選手</t>
    </r>
  </si>
  <si>
    <t xml:space="preserve">対象期間</t>
  </si>
  <si>
    <r>
      <rPr>
        <sz val="11"/>
        <rFont val="ＭＳ Ｐゴシック"/>
        <family val="0"/>
        <charset val="1"/>
      </rPr>
      <t xml:space="preserve">2026/07/22 </t>
    </r>
    <r>
      <rPr>
        <sz val="11"/>
        <rFont val="WenQuanYi Zen Hei"/>
        <family val="2"/>
      </rPr>
      <t xml:space="preserve">〜 </t>
    </r>
    <r>
      <rPr>
        <sz val="11"/>
        <rFont val="ＭＳ Ｐゴシック"/>
        <family val="0"/>
        <charset val="1"/>
      </rPr>
      <t xml:space="preserve">2026/10/05</t>
    </r>
  </si>
  <si>
    <t xml:space="preserve">記録日数</t>
  </si>
  <si>
    <t xml:space="preserve">レポート作成日</t>
  </si>
  <si>
    <t xml:space="preserve">2026/10/05</t>
  </si>
  <si>
    <t xml:space="preserve">比較対象（前期間）</t>
  </si>
  <si>
    <r>
      <rPr>
        <sz val="11"/>
        <rFont val="ＭＳ Ｐゴシック"/>
        <family val="0"/>
        <charset val="1"/>
      </rPr>
      <t xml:space="preserve">2026/03/30 </t>
    </r>
    <r>
      <rPr>
        <sz val="11"/>
        <rFont val="WenQuanYi Zen Hei"/>
        <family val="2"/>
      </rPr>
      <t xml:space="preserve">〜 </t>
    </r>
    <r>
      <rPr>
        <sz val="11"/>
        <rFont val="ＭＳ Ｐゴシック"/>
        <family val="0"/>
        <charset val="1"/>
      </rPr>
      <t xml:space="preserve">2026/05/22</t>
    </r>
  </si>
  <si>
    <t xml:space="preserve">■ 期間サマリー</t>
  </si>
  <si>
    <t xml:space="preserve">指標</t>
  </si>
  <si>
    <t xml:space="preserve">今期間</t>
  </si>
  <si>
    <t xml:space="preserve">前期間</t>
  </si>
  <si>
    <t xml:space="preserve">変化</t>
  </si>
  <si>
    <t xml:space="preserve">評価目安</t>
  </si>
  <si>
    <t xml:space="preserve">備考</t>
  </si>
  <si>
    <r>
      <rPr>
        <sz val="11"/>
        <rFont val="WenQuanYi Zen Hei"/>
        <family val="2"/>
      </rPr>
      <t xml:space="preserve">総トレーニング日数</t>
    </r>
    <r>
      <rPr>
        <sz val="11"/>
        <rFont val="ＭＳ Ｐ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休養除く</t>
    </r>
    <r>
      <rPr>
        <sz val="11"/>
        <rFont val="ＭＳ Ｐゴシック"/>
        <family val="0"/>
        <charset val="1"/>
      </rPr>
      <t xml:space="preserve">)</t>
    </r>
  </si>
  <si>
    <t xml:space="preserve">—</t>
  </si>
  <si>
    <t xml:space="preserve">休養日とのバランスを確認</t>
  </si>
  <si>
    <r>
      <rPr>
        <sz val="10"/>
        <rFont val="WenQuanYi Zen Hei"/>
        <family val="2"/>
      </rPr>
      <t xml:space="preserve">記録</t>
    </r>
    <r>
      <rPr>
        <sz val="10"/>
        <rFont val="ＭＳ Ｐ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52</t>
    </r>
    <r>
      <rPr>
        <sz val="10"/>
        <rFont val="WenQuanYi Zen Hei"/>
        <family val="2"/>
      </rPr>
      <t xml:space="preserve">日（前回</t>
    </r>
    <r>
      <rPr>
        <sz val="10"/>
        <rFont val="ＭＳ Ｐゴシック"/>
        <family val="0"/>
        <charset val="1"/>
      </rPr>
      <t xml:space="preserve">53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45</t>
    </r>
    <r>
      <rPr>
        <sz val="10"/>
        <rFont val="WenQuanYi Zen Hei"/>
        <family val="2"/>
      </rPr>
      <t xml:space="preserve">日）。練習頻度は同程度</t>
    </r>
  </si>
  <si>
    <t xml:space="preserve">休養日数</t>
  </si>
  <si>
    <r>
      <rPr>
        <sz val="10"/>
        <rFont val="WenQuanYi Zen Hei"/>
        <family val="2"/>
      </rPr>
      <t xml:space="preserve">週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日程度が目安</t>
    </r>
  </si>
  <si>
    <r>
      <rPr>
        <sz val="10"/>
        <rFont val="ＭＳ Ｐ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月後半〜</t>
    </r>
    <r>
      <rPr>
        <sz val="10"/>
        <rFont val="ＭＳ Ｐ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月は休養日を増やせている</t>
    </r>
  </si>
  <si>
    <r>
      <rPr>
        <sz val="11"/>
        <rFont val="WenQuanYi Zen Hei"/>
        <family val="2"/>
      </rPr>
      <t xml:space="preserve">総トレーニング時間</t>
    </r>
    <r>
      <rPr>
        <sz val="11"/>
        <rFont val="ＭＳ Ｐ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分</t>
    </r>
    <r>
      <rPr>
        <sz val="11"/>
        <rFont val="ＭＳ Ｐゴシック"/>
        <family val="0"/>
        <charset val="1"/>
      </rPr>
      <t xml:space="preserve">)</t>
    </r>
  </si>
  <si>
    <t xml:space="preserve">前週との比較で過負荷を確認</t>
  </si>
  <si>
    <r>
      <rPr>
        <sz val="10"/>
        <rFont val="ＭＳ Ｐゴシック"/>
        <family val="0"/>
        <charset val="1"/>
      </rPr>
      <t xml:space="preserve">9/14</t>
    </r>
    <r>
      <rPr>
        <sz val="10"/>
        <rFont val="WenQuanYi Zen Hei"/>
        <family val="2"/>
      </rPr>
      <t xml:space="preserve">週が</t>
    </r>
    <r>
      <rPr>
        <sz val="10"/>
        <rFont val="ＭＳ Ｐゴシック"/>
        <family val="0"/>
        <charset val="1"/>
      </rPr>
      <t xml:space="preserve">960</t>
    </r>
    <r>
      <rPr>
        <sz val="10"/>
        <rFont val="WenQuanYi Zen Hei"/>
        <family val="2"/>
      </rPr>
      <t xml:space="preserve">分で最多（④の週間グラフ参照）</t>
    </r>
  </si>
  <si>
    <r>
      <rPr>
        <sz val="11"/>
        <rFont val="ＭＳ Ｐ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回あたり平均練習時間</t>
    </r>
    <r>
      <rPr>
        <sz val="11"/>
        <rFont val="ＭＳ Ｐ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分</t>
    </r>
    <r>
      <rPr>
        <sz val="11"/>
        <rFont val="ＭＳ Ｐゴシック"/>
        <family val="0"/>
        <charset val="1"/>
      </rPr>
      <t xml:space="preserve">)</t>
    </r>
  </si>
  <si>
    <t xml:space="preserve">急激な増加は怪我リスク</t>
  </si>
  <si>
    <r>
      <rPr>
        <sz val="10"/>
        <rFont val="ＭＳ Ｐゴシック"/>
        <family val="0"/>
        <charset val="1"/>
      </rPr>
      <t xml:space="preserve">180</t>
    </r>
    <r>
      <rPr>
        <sz val="10"/>
        <rFont val="WenQuanYi Zen Hei"/>
        <family val="2"/>
      </rPr>
      <t xml:space="preserve">分の長時間練習が</t>
    </r>
    <r>
      <rPr>
        <sz val="10"/>
        <rFont val="ＭＳ Ｐ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回（</t>
    </r>
    <r>
      <rPr>
        <sz val="10"/>
        <rFont val="ＭＳ Ｐ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月に集中）</t>
    </r>
  </si>
  <si>
    <t xml:space="preserve">ウエイトトレーニング実施日数</t>
  </si>
  <si>
    <t xml:space="preserve">新たに導入</t>
  </si>
  <si>
    <r>
      <rPr>
        <sz val="10"/>
        <rFont val="ＭＳ Ｐゴシック"/>
        <family val="0"/>
        <charset val="1"/>
      </rPr>
      <t xml:space="preserve">7/24</t>
    </r>
    <r>
      <rPr>
        <sz val="10"/>
        <rFont val="WenQuanYi Zen Hei"/>
        <family val="2"/>
      </rPr>
      <t xml:space="preserve">〜導入。「扱う重量に慣れてきた」</t>
    </r>
    <r>
      <rPr>
        <sz val="10"/>
        <rFont val="ＭＳ Ｐゴシック"/>
        <family val="0"/>
        <charset val="1"/>
      </rPr>
      <t xml:space="preserve">(7/27)</t>
    </r>
  </si>
  <si>
    <r>
      <rPr>
        <sz val="11"/>
        <rFont val="WenQuanYi Zen Hei"/>
        <family val="2"/>
      </rPr>
      <t xml:space="preserve">平均</t>
    </r>
    <r>
      <rPr>
        <sz val="11"/>
        <rFont val="ＭＳ Ｐゴシック"/>
        <family val="0"/>
        <charset val="1"/>
      </rPr>
      <t xml:space="preserve">RPE(</t>
    </r>
    <r>
      <rPr>
        <sz val="11"/>
        <rFont val="WenQuanYi Zen Hei"/>
        <family val="2"/>
      </rPr>
      <t xml:space="preserve">練習日のみ</t>
    </r>
    <r>
      <rPr>
        <sz val="11"/>
        <rFont val="ＭＳ Ｐゴシック"/>
        <family val="0"/>
        <charset val="1"/>
      </rPr>
      <t xml:space="preserve">)</t>
    </r>
  </si>
  <si>
    <r>
      <rPr>
        <sz val="10"/>
        <rFont val="ＭＳ Ｐ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が中強度の目安</t>
    </r>
  </si>
  <si>
    <r>
      <rPr>
        <sz val="10"/>
        <rFont val="ＭＳ Ｐゴシック"/>
        <family val="0"/>
        <charset val="1"/>
      </rPr>
      <t xml:space="preserve">RPE</t>
    </r>
    <r>
      <rPr>
        <sz val="10"/>
        <rFont val="WenQuanYi Zen Hei"/>
        <family val="2"/>
      </rPr>
      <t xml:space="preserve">の高い日が続く時は、回復についても意識！</t>
    </r>
  </si>
  <si>
    <r>
      <rPr>
        <sz val="11"/>
        <rFont val="WenQuanYi Zen Hei"/>
        <family val="2"/>
      </rPr>
      <t xml:space="preserve">平均運動後疲労</t>
    </r>
    <r>
      <rPr>
        <sz val="11"/>
        <rFont val="ＭＳ Ｐ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練習日のみ</t>
    </r>
    <r>
      <rPr>
        <sz val="11"/>
        <rFont val="ＭＳ Ｐゴシック"/>
        <family val="0"/>
        <charset val="1"/>
      </rPr>
      <t xml:space="preserve">)</t>
    </r>
  </si>
  <si>
    <t xml:space="preserve">低いほど回復良好</t>
  </si>
  <si>
    <r>
      <rPr>
        <sz val="10"/>
        <rFont val="WenQuanYi Zen Hei"/>
        <family val="2"/>
      </rPr>
      <t xml:space="preserve">前回より改善。ただし疲労</t>
    </r>
    <r>
      <rPr>
        <sz val="10"/>
        <rFont val="ＭＳ Ｐ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の日が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回（</t>
    </r>
    <r>
      <rPr>
        <sz val="10"/>
        <rFont val="ＭＳ Ｐゴシック"/>
        <family val="0"/>
        <charset val="1"/>
      </rPr>
      <t xml:space="preserve">9/7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9/17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9/19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9/24</t>
    </r>
    <r>
      <rPr>
        <sz val="10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</si>
  <si>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平均睡眠時間</t>
    </r>
    <r>
      <rPr>
        <sz val="11"/>
        <rFont val="ＭＳ Ｐゴシック"/>
        <family val="0"/>
        <charset val="1"/>
      </rPr>
      <t xml:space="preserve">(h)</t>
    </r>
  </si>
  <si>
    <r>
      <rPr>
        <sz val="10"/>
        <rFont val="ＭＳ Ｐ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時間以上が目安</t>
    </r>
  </si>
  <si>
    <r>
      <rPr>
        <sz val="10"/>
        <rFont val="WenQuanYi Zen Hei"/>
        <family val="2"/>
      </rPr>
      <t xml:space="preserve">前回より約</t>
    </r>
    <r>
      <rPr>
        <sz val="10"/>
        <rFont val="ＭＳ Ｐゴシック"/>
        <family val="0"/>
        <charset val="1"/>
      </rPr>
      <t xml:space="preserve">0.4h</t>
    </r>
    <r>
      <rPr>
        <sz val="10"/>
        <rFont val="WenQuanYi Zen Hei"/>
        <family val="2"/>
      </rPr>
      <t xml:space="preserve">減少。遠征前後（</t>
    </r>
    <r>
      <rPr>
        <sz val="10"/>
        <rFont val="ＭＳ Ｐゴシック"/>
        <family val="0"/>
        <charset val="1"/>
      </rPr>
      <t xml:space="preserve">8/2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8/12</t>
    </r>
    <r>
      <rPr>
        <sz val="10"/>
        <rFont val="WenQuanYi Zen Hei"/>
        <family val="2"/>
      </rPr>
      <t xml:space="preserve">）に</t>
    </r>
    <r>
      <rPr>
        <sz val="10"/>
        <rFont val="ＭＳ Ｐゴシック"/>
        <family val="0"/>
        <charset val="1"/>
      </rPr>
      <t xml:space="preserve">5h</t>
    </r>
    <r>
      <rPr>
        <sz val="10"/>
        <rFont val="WenQuanYi Zen Hei"/>
        <family val="2"/>
      </rPr>
      <t xml:space="preserve">以下が集中</t>
    </r>
  </si>
  <si>
    <r>
      <rPr>
        <sz val="11"/>
        <rFont val="WenQuanYi Zen Hei"/>
        <family val="2"/>
      </rPr>
      <t xml:space="preserve">睡眠</t>
    </r>
    <r>
      <rPr>
        <sz val="11"/>
        <rFont val="ＭＳ Ｐゴシック"/>
        <family val="0"/>
        <charset val="1"/>
      </rPr>
      <t xml:space="preserve">7</t>
    </r>
    <r>
      <rPr>
        <sz val="11"/>
        <rFont val="WenQuanYi Zen Hei"/>
        <family val="2"/>
      </rPr>
      <t xml:space="preserve">時間未満の日数</t>
    </r>
  </si>
  <si>
    <t xml:space="preserve">少ないほど良い</t>
  </si>
  <si>
    <r>
      <rPr>
        <sz val="10"/>
        <rFont val="WenQuanYi Zen Hei"/>
        <family val="2"/>
      </rPr>
      <t xml:space="preserve">前回</t>
    </r>
    <r>
      <rPr>
        <sz val="10"/>
        <rFont val="ＭＳ Ｐ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日→</t>
    </r>
    <r>
      <rPr>
        <sz val="10"/>
        <rFont val="ＭＳ Ｐ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日。</t>
    </r>
    <r>
      <rPr>
        <sz val="10"/>
        <rFont val="ＭＳ Ｐゴシック"/>
        <family val="0"/>
        <charset val="1"/>
      </rPr>
      <t xml:space="preserve">6h</t>
    </r>
    <r>
      <rPr>
        <sz val="10"/>
        <rFont val="WenQuanYi Zen Hei"/>
        <family val="2"/>
      </rPr>
      <t xml:space="preserve">未満の日は起床時</t>
    </r>
    <r>
      <rPr>
        <sz val="10"/>
        <rFont val="ＭＳ Ｐゴシック"/>
        <family val="0"/>
        <charset val="1"/>
      </rPr>
      <t xml:space="preserve">CD</t>
    </r>
    <r>
      <rPr>
        <sz val="10"/>
        <rFont val="WenQuanYi Zen Hei"/>
        <family val="2"/>
      </rPr>
      <t xml:space="preserve">が悪化（⑤参照）</t>
    </r>
  </si>
  <si>
    <r>
      <rPr>
        <sz val="11"/>
        <rFont val="WenQuanYi Zen Hei"/>
        <family val="2"/>
      </rPr>
      <t xml:space="preserve">平均睡眠の質</t>
    </r>
    <r>
      <rPr>
        <sz val="11"/>
        <rFont val="ＭＳ Ｐゴシック"/>
        <family val="0"/>
        <charset val="1"/>
      </rPr>
      <t xml:space="preserve">(1=</t>
    </r>
    <r>
      <rPr>
        <sz val="11"/>
        <rFont val="WenQuanYi Zen Hei"/>
        <family val="2"/>
      </rPr>
      <t xml:space="preserve">良</t>
    </r>
    <r>
      <rPr>
        <sz val="11"/>
        <rFont val="ＭＳ Ｐゴシック"/>
        <family val="0"/>
        <charset val="1"/>
      </rPr>
      <t xml:space="preserve">/5=</t>
    </r>
    <r>
      <rPr>
        <sz val="11"/>
        <rFont val="WenQuanYi Zen Hei"/>
        <family val="2"/>
      </rPr>
      <t xml:space="preserve">悪</t>
    </r>
    <r>
      <rPr>
        <sz val="11"/>
        <rFont val="ＭＳ Ｐゴシック"/>
        <family val="0"/>
        <charset val="1"/>
      </rPr>
      <t xml:space="preserve">)</t>
    </r>
  </si>
  <si>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以下が望ましい</t>
    </r>
  </si>
  <si>
    <t xml:space="preserve">改善傾向！高い日は前夜の行動を振り返る（食事、スマホ等）</t>
  </si>
  <si>
    <r>
      <rPr>
        <sz val="11"/>
        <rFont val="WenQuanYi Zen Hei"/>
        <family val="2"/>
      </rPr>
      <t xml:space="preserve">平均起床時コンディション</t>
    </r>
    <r>
      <rPr>
        <sz val="11"/>
        <rFont val="ＭＳ Ｐゴシック"/>
        <family val="0"/>
        <charset val="1"/>
      </rPr>
      <t xml:space="preserve">(1=</t>
    </r>
    <r>
      <rPr>
        <sz val="11"/>
        <rFont val="WenQuanYi Zen Hei"/>
        <family val="2"/>
      </rPr>
      <t xml:space="preserve">良</t>
    </r>
    <r>
      <rPr>
        <sz val="11"/>
        <rFont val="ＭＳ Ｐゴシック"/>
        <family val="0"/>
        <charset val="1"/>
      </rPr>
      <t xml:space="preserve">/5=</t>
    </r>
    <r>
      <rPr>
        <sz val="11"/>
        <rFont val="WenQuanYi Zen Hei"/>
        <family val="2"/>
      </rPr>
      <t xml:space="preserve">悪</t>
    </r>
    <r>
      <rPr>
        <sz val="11"/>
        <rFont val="ＭＳ Ｐゴシック"/>
        <family val="0"/>
        <charset val="1"/>
      </rPr>
      <t xml:space="preserve">)</t>
    </r>
  </si>
  <si>
    <t xml:space="preserve">改善傾向！主観の悪化は早期の疲労サイン</t>
  </si>
  <si>
    <r>
      <rPr>
        <sz val="11"/>
        <rFont val="WenQuanYi Zen Hei"/>
        <family val="2"/>
      </rPr>
      <t xml:space="preserve">平均体重</t>
    </r>
    <r>
      <rPr>
        <sz val="11"/>
        <rFont val="ＭＳ Ｐゴシック"/>
        <family val="0"/>
        <charset val="1"/>
      </rPr>
      <t xml:space="preserve">(kg)</t>
    </r>
  </si>
  <si>
    <r>
      <rPr>
        <sz val="10"/>
        <rFont val="ＭＳ Ｐゴシック"/>
        <family val="0"/>
        <charset val="1"/>
      </rPr>
      <t xml:space="preserve">±1kg</t>
    </r>
    <r>
      <rPr>
        <sz val="10"/>
        <rFont val="WenQuanYi Zen Hei"/>
        <family val="2"/>
      </rPr>
      <t xml:space="preserve">以内の変動が目安</t>
    </r>
  </si>
  <si>
    <r>
      <rPr>
        <sz val="10"/>
        <rFont val="WenQuanYi Zen Hei"/>
        <family val="2"/>
      </rPr>
      <t xml:space="preserve">前回比</t>
    </r>
    <r>
      <rPr>
        <sz val="10"/>
        <rFont val="ＭＳ Ｐゴシック"/>
        <family val="0"/>
        <charset val="1"/>
      </rPr>
      <t xml:space="preserve">+1.2kg</t>
    </r>
    <r>
      <rPr>
        <sz val="10"/>
        <rFont val="WenQuanYi Zen Hei"/>
        <family val="2"/>
      </rPr>
      <t xml:space="preserve">。</t>
    </r>
    <r>
      <rPr>
        <sz val="10"/>
        <rFont val="ＭＳ Ｐ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月後半以降は</t>
    </r>
    <r>
      <rPr>
        <sz val="10"/>
        <rFont val="ＭＳ Ｐゴシック"/>
        <family val="0"/>
        <charset val="1"/>
      </rPr>
      <t xml:space="preserve">62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63kg</t>
    </r>
    <r>
      <rPr>
        <sz val="10"/>
        <rFont val="WenQuanYi Zen Hei"/>
        <family val="2"/>
      </rPr>
      <t xml:space="preserve">台で推移</t>
    </r>
  </si>
  <si>
    <r>
      <rPr>
        <sz val="11"/>
        <rFont val="WenQuanYi Zen Hei"/>
        <family val="2"/>
      </rPr>
      <t xml:space="preserve">体重変動幅</t>
    </r>
    <r>
      <rPr>
        <sz val="11"/>
        <rFont val="ＭＳ Ｐゴシック"/>
        <family val="0"/>
        <charset val="1"/>
      </rPr>
      <t xml:space="preserve">(kg)</t>
    </r>
  </si>
  <si>
    <r>
      <rPr>
        <sz val="10"/>
        <rFont val="ＭＳ Ｐゴシック"/>
        <family val="0"/>
        <charset val="1"/>
      </rPr>
      <t xml:space="preserve">1.5kg</t>
    </r>
    <r>
      <rPr>
        <sz val="10"/>
        <rFont val="WenQuanYi Zen Hei"/>
        <family val="2"/>
      </rPr>
      <t xml:space="preserve">以内が目安</t>
    </r>
  </si>
  <si>
    <r>
      <rPr>
        <sz val="10"/>
        <rFont val="ＭＳ Ｐゴシック"/>
        <family val="0"/>
        <charset val="1"/>
      </rPr>
      <t xml:space="preserve">61.1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63.5kg</t>
    </r>
    <r>
      <rPr>
        <sz val="10"/>
        <rFont val="WenQuanYi Zen Hei"/>
        <family val="2"/>
      </rPr>
      <t xml:space="preserve">。日々の変動も大きめ→測定条件の統一を</t>
    </r>
  </si>
  <si>
    <r>
      <rPr>
        <sz val="11"/>
        <rFont val="WenQuanYi Zen Hei"/>
        <family val="2"/>
      </rPr>
      <t xml:space="preserve">平均水分摂取量</t>
    </r>
    <r>
      <rPr>
        <sz val="11"/>
        <rFont val="ＭＳ Ｐゴシック"/>
        <family val="0"/>
        <charset val="1"/>
      </rPr>
      <t xml:space="preserve">(ml)</t>
    </r>
  </si>
  <si>
    <r>
      <rPr>
        <sz val="10"/>
        <rFont val="ＭＳ Ｐゴシック"/>
        <family val="0"/>
        <charset val="1"/>
      </rPr>
      <t xml:space="preserve">1000ml</t>
    </r>
    <r>
      <rPr>
        <sz val="10"/>
        <rFont val="WenQuanYi Zen Hei"/>
        <family val="2"/>
      </rPr>
      <t xml:space="preserve">以上が目安</t>
    </r>
  </si>
  <si>
    <r>
      <rPr>
        <sz val="10"/>
        <rFont val="WenQuanYi Zen Hei"/>
        <family val="2"/>
      </rPr>
      <t xml:space="preserve">休養日は</t>
    </r>
    <r>
      <rPr>
        <sz val="10"/>
        <rFont val="ＭＳ Ｐゴシック"/>
        <family val="0"/>
        <charset val="1"/>
      </rPr>
      <t xml:space="preserve">500ml</t>
    </r>
    <r>
      <rPr>
        <sz val="10"/>
        <rFont val="WenQuanYi Zen Hei"/>
        <family val="2"/>
      </rPr>
      <t xml:space="preserve">の日が多い（休養日</t>
    </r>
    <r>
      <rPr>
        <sz val="10"/>
        <rFont val="ＭＳ Ｐ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日）</t>
    </r>
  </si>
  <si>
    <r>
      <rPr>
        <sz val="11"/>
        <rFont val="WenQuanYi Zen Hei"/>
        <family val="2"/>
      </rPr>
      <t xml:space="preserve">水分</t>
    </r>
    <r>
      <rPr>
        <sz val="11"/>
        <rFont val="ＭＳ Ｐゴシック"/>
        <family val="0"/>
        <charset val="1"/>
      </rPr>
      <t xml:space="preserve">1000ml</t>
    </r>
    <r>
      <rPr>
        <sz val="11"/>
        <rFont val="WenQuanYi Zen Hei"/>
        <family val="2"/>
      </rPr>
      <t xml:space="preserve">以上の日数</t>
    </r>
  </si>
  <si>
    <r>
      <rPr>
        <sz val="10"/>
        <rFont val="ＭＳ Ｐ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52</t>
    </r>
    <r>
      <rPr>
        <sz val="10"/>
        <rFont val="WenQuanYi Zen Hei"/>
        <family val="2"/>
      </rPr>
      <t xml:space="preserve">日（</t>
    </r>
    <r>
      <rPr>
        <sz val="10"/>
        <rFont val="ＭＳ Ｐゴシック"/>
        <family val="0"/>
        <charset val="1"/>
      </rPr>
      <t xml:space="preserve">81%</t>
    </r>
    <r>
      <rPr>
        <sz val="10"/>
        <rFont val="WenQuanYi Zen Hei"/>
        <family val="2"/>
      </rPr>
      <t xml:space="preserve">）。前回</t>
    </r>
    <r>
      <rPr>
        <sz val="10"/>
        <rFont val="ＭＳ Ｐゴシック"/>
        <family val="0"/>
        <charset val="1"/>
      </rPr>
      <t xml:space="preserve">79%</t>
    </r>
  </si>
  <si>
    <t xml:space="preserve">練習後補食「はい」の日数</t>
  </si>
  <si>
    <t xml:space="preserve">練習日は毎回が理想</t>
  </si>
  <si>
    <t xml:space="preserve">回復速度に関連しうる</t>
  </si>
  <si>
    <t xml:space="preserve">練習日の補食実施率</t>
  </si>
  <si>
    <r>
      <rPr>
        <sz val="10"/>
        <rFont val="ＭＳ Ｐゴシック"/>
        <family val="0"/>
        <charset val="1"/>
      </rPr>
      <t xml:space="preserve">100%</t>
    </r>
    <r>
      <rPr>
        <sz val="10"/>
        <rFont val="WenQuanYi Zen Hei"/>
        <family val="2"/>
      </rPr>
      <t xml:space="preserve">が理想</t>
    </r>
  </si>
  <si>
    <r>
      <rPr>
        <sz val="10"/>
        <rFont val="ＭＳ Ｐゴシック"/>
        <family val="0"/>
        <charset val="1"/>
      </rPr>
      <t xml:space="preserve">9/1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9/11</t>
    </r>
    <r>
      <rPr>
        <sz val="10"/>
        <rFont val="WenQuanYi Zen Hei"/>
        <family val="2"/>
      </rPr>
      <t xml:space="preserve">は</t>
    </r>
    <r>
      <rPr>
        <sz val="10"/>
        <rFont val="ＭＳ Ｐゴシック"/>
        <family val="0"/>
        <charset val="1"/>
      </rPr>
      <t xml:space="preserve">100%</t>
    </r>
    <r>
      <rPr>
        <sz val="10"/>
        <rFont val="WenQuanYi Zen Hei"/>
        <family val="2"/>
      </rPr>
      <t xml:space="preserve">！一方</t>
    </r>
    <r>
      <rPr>
        <sz val="10"/>
        <rFont val="ＭＳ Ｐゴシック"/>
        <family val="0"/>
        <charset val="1"/>
      </rPr>
      <t xml:space="preserve">9/12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9/19</t>
    </r>
    <r>
      <rPr>
        <sz val="10"/>
        <rFont val="WenQuanYi Zen Hei"/>
        <family val="2"/>
      </rPr>
      <t xml:space="preserve">は</t>
    </r>
    <r>
      <rPr>
        <sz val="10"/>
        <rFont val="ＭＳ Ｐゴシック"/>
        <family val="0"/>
        <charset val="1"/>
      </rPr>
      <t xml:space="preserve">14%</t>
    </r>
    <r>
      <rPr>
        <sz val="10"/>
        <rFont val="WenQuanYi Zen Hei"/>
        <family val="2"/>
      </rPr>
      <t xml:space="preserve">に急落</t>
    </r>
  </si>
  <si>
    <t xml:space="preserve">きのこ・海藻「はい」の日数</t>
  </si>
  <si>
    <r>
      <rPr>
        <sz val="10"/>
        <rFont val="WenQuanYi Zen Hei"/>
        <family val="2"/>
      </rPr>
      <t xml:space="preserve">週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日以上を目標</t>
    </r>
  </si>
  <si>
    <r>
      <rPr>
        <sz val="10"/>
        <rFont val="ＭＳ Ｐ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54</t>
    </r>
    <r>
      <rPr>
        <sz val="10"/>
        <rFont val="WenQuanYi Zen Hei"/>
        <family val="2"/>
      </rPr>
      <t xml:space="preserve">日！ほぼ毎日摂れていて素晴らしい</t>
    </r>
  </si>
  <si>
    <r>
      <rPr>
        <sz val="11"/>
        <rFont val="WenQuanYi Zen Hei"/>
        <family val="2"/>
      </rPr>
      <t xml:space="preserve">タンパク質平均種類数</t>
    </r>
    <r>
      <rPr>
        <sz val="11"/>
        <rFont val="ＭＳ Ｐゴシック"/>
        <family val="0"/>
        <charset val="1"/>
      </rPr>
      <t xml:space="preserve">(</t>
    </r>
    <r>
      <rPr>
        <sz val="11"/>
        <rFont val="WenQuanYi Zen Hei"/>
        <family val="2"/>
      </rPr>
      <t xml:space="preserve">昼夕合計</t>
    </r>
    <r>
      <rPr>
        <sz val="11"/>
        <rFont val="ＭＳ Ｐゴシック"/>
        <family val="0"/>
        <charset val="1"/>
      </rPr>
      <t xml:space="preserve">)</t>
    </r>
  </si>
  <si>
    <r>
      <rPr>
        <sz val="10"/>
        <rFont val="ＭＳ Ｐゴシック"/>
        <family val="0"/>
        <charset val="1"/>
      </rPr>
      <t xml:space="preserve">1.5</t>
    </r>
    <r>
      <rPr>
        <sz val="10"/>
        <rFont val="WenQuanYi Zen Hei"/>
        <family val="2"/>
      </rPr>
      <t xml:space="preserve">以上で多様性◎</t>
    </r>
  </si>
  <si>
    <t xml:space="preserve">大幅改善！夕食の豆・卵が増えた</t>
  </si>
  <si>
    <t xml:space="preserve">昼食タンパク質平均種類数</t>
  </si>
  <si>
    <r>
      <rPr>
        <sz val="10"/>
        <rFont val="ＭＳ Ｐゴシック"/>
        <family val="0"/>
        <charset val="1"/>
      </rPr>
      <t xml:space="preserve">1.0</t>
    </r>
    <r>
      <rPr>
        <sz val="10"/>
        <rFont val="WenQuanYi Zen Hei"/>
        <family val="2"/>
      </rPr>
      <t xml:space="preserve">以上が目安</t>
    </r>
  </si>
  <si>
    <t xml:space="preserve">改善中。昼の魚・豆が引き続き少ない</t>
  </si>
  <si>
    <t xml:space="preserve">夕食タンパク質平均種類数</t>
  </si>
  <si>
    <r>
      <rPr>
        <sz val="10"/>
        <rFont val="ＭＳ Ｐ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以上が目安</t>
    </r>
  </si>
  <si>
    <r>
      <rPr>
        <sz val="10"/>
        <rFont val="WenQuanYi Zen Hei"/>
        <family val="2"/>
      </rPr>
      <t xml:space="preserve">前回</t>
    </r>
    <r>
      <rPr>
        <sz val="10"/>
        <rFont val="ＭＳ Ｐゴシック"/>
        <family val="0"/>
        <charset val="1"/>
      </rPr>
      <t xml:space="preserve">1.60→2.28</t>
    </r>
    <r>
      <rPr>
        <sz val="10"/>
        <rFont val="WenQuanYi Zen Hei"/>
        <family val="2"/>
      </rPr>
      <t xml:space="preserve">と大きく向上</t>
    </r>
  </si>
  <si>
    <t xml:space="preserve">※「変化」の色：緑＝前回より改善／オレンジ＝前回より悪化。日数の指標は期間の長さが違うため変化は表示していません。</t>
  </si>
  <si>
    <t xml:space="preserve">■ 今期間のハイライト（コーチ記入欄）</t>
  </si>
  <si>
    <t xml:space="preserve">① よかった点（継続したい行動）</t>
  </si>
  <si>
    <r>
      <rPr>
        <sz val="10"/>
        <rFont val="WenQuanYi Zen Hei"/>
        <family val="2"/>
      </rPr>
      <t xml:space="preserve">◯ 食事の「多様性」が大きく前進！タンパク質の種類数は平均</t>
    </r>
    <r>
      <rPr>
        <sz val="10"/>
        <rFont val="ＭＳ Ｐゴシック"/>
        <family val="0"/>
        <charset val="1"/>
      </rPr>
      <t xml:space="preserve">2.28→3.19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/</t>
    </r>
    <r>
      <rPr>
        <sz val="10"/>
        <rFont val="WenQuanYi Zen Hei"/>
        <family val="2"/>
      </rPr>
      <t xml:space="preserve">日、夕食は</t>
    </r>
    <r>
      <rPr>
        <sz val="10"/>
        <rFont val="ＭＳ Ｐゴシック"/>
        <family val="0"/>
        <charset val="1"/>
      </rPr>
      <t xml:space="preserve">1.60→2.28</t>
    </r>
    <r>
      <rPr>
        <sz val="10"/>
        <rFont val="WenQuanYi Zen Hei"/>
        <family val="2"/>
      </rPr>
      <t xml:space="preserve">種に。前回弱点だった夕食の豆（</t>
    </r>
    <r>
      <rPr>
        <sz val="10"/>
        <rFont val="ＭＳ Ｐゴシック"/>
        <family val="0"/>
        <charset val="1"/>
      </rPr>
      <t xml:space="preserve">15→25</t>
    </r>
    <r>
      <rPr>
        <sz val="10"/>
        <rFont val="WenQuanYi Zen Hei"/>
        <family val="2"/>
      </rPr>
      <t xml:space="preserve">日）・卵（</t>
    </r>
    <r>
      <rPr>
        <sz val="10"/>
        <rFont val="ＭＳ Ｐゴシック"/>
        <family val="0"/>
        <charset val="1"/>
      </rPr>
      <t xml:space="preserve">15→38</t>
    </r>
    <r>
      <rPr>
        <sz val="10"/>
        <rFont val="WenQuanYi Zen Hei"/>
        <family val="2"/>
      </rPr>
      <t xml:space="preserve">日）がしっかり増え、種類数</t>
    </r>
    <r>
      <rPr>
        <sz val="10"/>
        <rFont val="ＭＳ Ｐ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の日は</t>
    </r>
    <r>
      <rPr>
        <sz val="10"/>
        <rFont val="ＭＳ Ｐ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日だけでした。きのこ・海藻も</t>
    </r>
    <r>
      <rPr>
        <sz val="10"/>
        <rFont val="ＭＳ Ｐゴシック"/>
        <family val="0"/>
        <charset val="1"/>
      </rPr>
      <t xml:space="preserve">64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54</t>
    </r>
    <r>
      <rPr>
        <sz val="10"/>
        <rFont val="WenQuanYi Zen Hei"/>
        <family val="2"/>
      </rPr>
      <t xml:space="preserve">日とほぼ毎日摂れています。
◯ 前回の目標「練習後の補食」は、</t>
    </r>
    <r>
      <rPr>
        <sz val="10"/>
        <rFont val="ＭＳ Ｐゴシック"/>
        <family val="0"/>
        <charset val="1"/>
      </rPr>
      <t xml:space="preserve">9/1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9/11</t>
    </r>
    <r>
      <rPr>
        <sz val="10"/>
        <rFont val="WenQuanYi Zen Hei"/>
        <family val="2"/>
      </rPr>
      <t xml:space="preserve">の期間で練習日</t>
    </r>
    <r>
      <rPr>
        <sz val="10"/>
        <rFont val="ＭＳ Ｐ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日すべて「はい」（</t>
    </r>
    <r>
      <rPr>
        <sz val="10"/>
        <rFont val="ＭＳ Ｐゴシック"/>
        <family val="0"/>
        <charset val="1"/>
      </rPr>
      <t xml:space="preserve">100%</t>
    </r>
    <r>
      <rPr>
        <sz val="10"/>
        <rFont val="WenQuanYi Zen Hei"/>
        <family val="2"/>
      </rPr>
      <t xml:space="preserve">）。この期間は</t>
    </r>
    <r>
      <rPr>
        <sz val="10"/>
        <rFont val="ＭＳ Ｐゴシック"/>
        <family val="0"/>
        <charset val="1"/>
      </rPr>
      <t xml:space="preserve">RPE8</t>
    </r>
    <r>
      <rPr>
        <sz val="10"/>
        <rFont val="WenQuanYi Zen Hei"/>
        <family val="2"/>
      </rPr>
      <t xml:space="preserve">の練習（</t>
    </r>
    <r>
      <rPr>
        <sz val="10"/>
        <rFont val="ＭＳ Ｐゴシック"/>
        <family val="0"/>
        <charset val="1"/>
      </rPr>
      <t xml:space="preserve">9/4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9/8</t>
    </r>
    <r>
      <rPr>
        <sz val="10"/>
        <rFont val="WenQuanYi Zen Hei"/>
        <family val="2"/>
      </rPr>
      <t xml:space="preserve">）が入っても疲労は</t>
    </r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に収まっており、「やればできる」ことが確認できたのは大きな成果です。
◯ 睡眠の質（</t>
    </r>
    <r>
      <rPr>
        <sz val="10"/>
        <rFont val="ＭＳ Ｐゴシック"/>
        <family val="0"/>
        <charset val="1"/>
      </rPr>
      <t xml:space="preserve">2.51→2.36</t>
    </r>
    <r>
      <rPr>
        <sz val="10"/>
        <rFont val="WenQuanYi Zen Hei"/>
        <family val="2"/>
      </rPr>
      <t xml:space="preserve">）・起床時コンディション（</t>
    </r>
    <r>
      <rPr>
        <sz val="10"/>
        <rFont val="ＭＳ Ｐゴシック"/>
        <family val="0"/>
        <charset val="1"/>
      </rPr>
      <t xml:space="preserve">2.58→2.36</t>
    </r>
    <r>
      <rPr>
        <sz val="10"/>
        <rFont val="WenQuanYi Zen Hei"/>
        <family val="2"/>
      </rPr>
      <t xml:space="preserve">）・平均運動後疲労（</t>
    </r>
    <r>
      <rPr>
        <sz val="10"/>
        <rFont val="ＭＳ Ｐゴシック"/>
        <family val="0"/>
        <charset val="1"/>
      </rPr>
      <t xml:space="preserve">3.56→3.38</t>
    </r>
    <r>
      <rPr>
        <sz val="10"/>
        <rFont val="WenQuanYi Zen Hei"/>
        <family val="2"/>
      </rPr>
      <t xml:space="preserve">）がそろって改善。</t>
    </r>
    <r>
      <rPr>
        <sz val="10"/>
        <rFont val="ＭＳ Ｐゴシック"/>
        <family val="0"/>
        <charset val="1"/>
      </rPr>
      <t xml:space="preserve">8/14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8/17</t>
    </r>
    <r>
      <rPr>
        <sz val="10"/>
        <rFont val="WenQuanYi Zen Hei"/>
        <family val="2"/>
      </rPr>
      <t xml:space="preserve">は</t>
    </r>
    <r>
      <rPr>
        <sz val="10"/>
        <rFont val="ＭＳ Ｐゴシック"/>
        <family val="0"/>
        <charset val="1"/>
      </rPr>
      <t xml:space="preserve">180</t>
    </r>
    <r>
      <rPr>
        <sz val="10"/>
        <rFont val="WenQuanYi Zen Hei"/>
        <family val="2"/>
      </rPr>
      <t xml:space="preserve">分練習を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回含む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連続練習でも瞬発力・持久力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を維持できていました。
◯ </t>
    </r>
    <r>
      <rPr>
        <sz val="10"/>
        <rFont val="ＭＳ Ｐゴシック"/>
        <family val="0"/>
        <charset val="1"/>
      </rPr>
      <t xml:space="preserve">7/24</t>
    </r>
    <r>
      <rPr>
        <sz val="10"/>
        <rFont val="WenQuanYi Zen Hei"/>
        <family val="2"/>
      </rPr>
      <t xml:space="preserve">からウエイトトレーニングを導入し「扱う重量に慣れてきた」</t>
    </r>
    <r>
      <rPr>
        <sz val="10"/>
        <rFont val="ＭＳ Ｐゴシック"/>
        <family val="0"/>
        <charset val="1"/>
      </rPr>
      <t xml:space="preserve">(7/27)</t>
    </r>
    <r>
      <rPr>
        <sz val="10"/>
        <rFont val="WenQuanYi Zen Hei"/>
        <family val="2"/>
      </rPr>
      <t xml:space="preserve">、</t>
    </r>
    <r>
      <rPr>
        <sz val="10"/>
        <rFont val="ＭＳ Ｐゴシック"/>
        <family val="0"/>
        <charset val="1"/>
      </rPr>
      <t xml:space="preserve">8/22 </t>
    </r>
    <r>
      <rPr>
        <sz val="10"/>
        <rFont val="WenQuanYi Zen Hei"/>
        <family val="2"/>
      </rPr>
      <t xml:space="preserve">日福記録会では「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発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発の伸びは大きかった」と記録。筋力づくりの手応えが出始めている可能性があります。</t>
    </r>
  </si>
  <si>
    <t xml:space="preserve">② 気になった点（早めに手を打ちたいこと）</t>
  </si>
  <si>
    <r>
      <rPr>
        <sz val="10"/>
        <rFont val="WenQuanYi Zen Hei"/>
        <family val="2"/>
      </rPr>
      <t xml:space="preserve">◯ 暑さ・湿度が今期間いちばんの課題。メモに「暑い・湿度・熱中症」とある</t>
    </r>
    <r>
      <rPr>
        <sz val="10"/>
        <rFont val="ＭＳ Ｐ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日は、運動後疲労</t>
    </r>
    <r>
      <rPr>
        <sz val="10"/>
        <rFont val="ＭＳ Ｐゴシック"/>
        <family val="0"/>
        <charset val="1"/>
      </rPr>
      <t xml:space="preserve">4.4</t>
    </r>
    <r>
      <rPr>
        <sz val="10"/>
        <rFont val="WenQuanYi Zen Hei"/>
        <family val="2"/>
      </rPr>
      <t xml:space="preserve">（その他の日</t>
    </r>
    <r>
      <rPr>
        <sz val="10"/>
        <rFont val="ＭＳ Ｐゴシック"/>
        <family val="0"/>
        <charset val="1"/>
      </rPr>
      <t xml:space="preserve">3.2</t>
    </r>
    <r>
      <rPr>
        <sz val="10"/>
        <rFont val="WenQuanYi Zen Hei"/>
        <family val="2"/>
      </rPr>
      <t xml:space="preserve">）、瞬発力</t>
    </r>
    <r>
      <rPr>
        <sz val="10"/>
        <rFont val="ＭＳ Ｐゴシック"/>
        <family val="0"/>
        <charset val="1"/>
      </rPr>
      <t xml:space="preserve">2.6</t>
    </r>
    <r>
      <rPr>
        <sz val="10"/>
        <rFont val="WenQuanYi Zen Hei"/>
        <family val="2"/>
      </rPr>
      <t xml:space="preserve">（同</t>
    </r>
    <r>
      <rPr>
        <sz val="10"/>
        <rFont val="ＭＳ Ｐゴシック"/>
        <family val="0"/>
        <charset val="1"/>
      </rPr>
      <t xml:space="preserve">3.5</t>
    </r>
    <r>
      <rPr>
        <sz val="10"/>
        <rFont val="WenQuanYi Zen Hei"/>
        <family val="2"/>
      </rPr>
      <t xml:space="preserve">）、持久力</t>
    </r>
    <r>
      <rPr>
        <sz val="10"/>
        <rFont val="ＭＳ Ｐゴシック"/>
        <family val="0"/>
        <charset val="1"/>
      </rPr>
      <t xml:space="preserve">2.3</t>
    </r>
    <r>
      <rPr>
        <sz val="10"/>
        <rFont val="WenQuanYi Zen Hei"/>
        <family val="2"/>
      </rPr>
      <t xml:space="preserve">（同</t>
    </r>
    <r>
      <rPr>
        <sz val="10"/>
        <rFont val="ＭＳ Ｐゴシック"/>
        <family val="0"/>
        <charset val="1"/>
      </rPr>
      <t xml:space="preserve">3.4</t>
    </r>
    <r>
      <rPr>
        <sz val="10"/>
        <rFont val="WenQuanYi Zen Hei"/>
        <family val="2"/>
      </rPr>
      <t xml:space="preserve">）とはっきり低下しています。</t>
    </r>
    <r>
      <rPr>
        <sz val="10"/>
        <rFont val="ＭＳ Ｐゴシック"/>
        <family val="0"/>
        <charset val="1"/>
      </rPr>
      <t xml:space="preserve">9/17</t>
    </r>
    <r>
      <rPr>
        <sz val="10"/>
        <rFont val="WenQuanYi Zen Hei"/>
        <family val="2"/>
      </rPr>
      <t xml:space="preserve">は「熱中症になったかも」、</t>
    </r>
    <r>
      <rPr>
        <sz val="10"/>
        <rFont val="ＭＳ Ｐゴシック"/>
        <family val="0"/>
        <charset val="1"/>
      </rPr>
      <t xml:space="preserve">9/24</t>
    </r>
    <r>
      <rPr>
        <sz val="10"/>
        <rFont val="WenQuanYi Zen Hei"/>
        <family val="2"/>
      </rPr>
      <t xml:space="preserve">も「暑かったせいか」で瞬発力・持久力ともに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。逆に</t>
    </r>
    <r>
      <rPr>
        <sz val="10"/>
        <rFont val="ＭＳ Ｐゴシック"/>
        <family val="0"/>
        <charset val="1"/>
      </rPr>
      <t xml:space="preserve">9/21</t>
    </r>
    <r>
      <rPr>
        <sz val="10"/>
        <rFont val="WenQuanYi Zen Hei"/>
        <family val="2"/>
      </rPr>
      <t xml:space="preserve">は「涼しかったせいか？」で疲労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と好調でした。暑熱対策（練習前の身体冷却、冷たいドリンク、アイスタオル・霧吹きなど）を本人と一緒に決めておきたいところです。
◯ 長い練習の日ほど補食が抜けています。</t>
    </r>
    <r>
      <rPr>
        <sz val="10"/>
        <rFont val="ＭＳ Ｐゴシック"/>
        <family val="0"/>
        <charset val="1"/>
      </rPr>
      <t xml:space="preserve">180</t>
    </r>
    <r>
      <rPr>
        <sz val="10"/>
        <rFont val="WenQuanYi Zen Hei"/>
        <family val="2"/>
      </rPr>
      <t xml:space="preserve">分以上の練習日の補食は</t>
    </r>
    <r>
      <rPr>
        <sz val="10"/>
        <rFont val="ＭＳ Ｐ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日（</t>
    </r>
    <r>
      <rPr>
        <sz val="10"/>
        <rFont val="ＭＳ Ｐゴシック"/>
        <family val="0"/>
        <charset val="1"/>
      </rPr>
      <t xml:space="preserve">27%</t>
    </r>
    <r>
      <rPr>
        <sz val="10"/>
        <rFont val="WenQuanYi Zen Hei"/>
        <family val="2"/>
      </rPr>
      <t xml:space="preserve">）で、</t>
    </r>
    <r>
      <rPr>
        <sz val="10"/>
        <rFont val="ＭＳ Ｐゴシック"/>
        <family val="0"/>
        <charset val="1"/>
      </rPr>
      <t xml:space="preserve">60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120</t>
    </r>
    <r>
      <rPr>
        <sz val="10"/>
        <rFont val="WenQuanYi Zen Hei"/>
        <family val="2"/>
      </rPr>
      <t xml:space="preserve">分の日（</t>
    </r>
    <r>
      <rPr>
        <sz val="10"/>
        <rFont val="ＭＳ Ｐゴシック"/>
        <family val="0"/>
        <charset val="1"/>
      </rPr>
      <t xml:space="preserve">80%</t>
    </r>
    <r>
      <rPr>
        <sz val="10"/>
        <rFont val="WenQuanYi Zen Hei"/>
        <family val="2"/>
      </rPr>
      <t xml:space="preserve">）と大きな差。特に</t>
    </r>
    <r>
      <rPr>
        <sz val="10"/>
        <rFont val="ＭＳ Ｐゴシック"/>
        <family val="0"/>
        <charset val="1"/>
      </rPr>
      <t xml:space="preserve">9/12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9/19</t>
    </r>
    <r>
      <rPr>
        <sz val="10"/>
        <rFont val="WenQuanYi Zen Hei"/>
        <family val="2"/>
      </rPr>
      <t xml:space="preserve">は</t>
    </r>
    <r>
      <rPr>
        <sz val="10"/>
        <rFont val="ＭＳ Ｐゴシック"/>
        <family val="0"/>
        <charset val="1"/>
      </rPr>
      <t xml:space="preserve">180</t>
    </r>
    <r>
      <rPr>
        <sz val="10"/>
        <rFont val="WenQuanYi Zen Hei"/>
        <family val="2"/>
      </rPr>
      <t xml:space="preserve">分練習が</t>
    </r>
    <r>
      <rPr>
        <sz val="10"/>
        <rFont val="ＭＳ Ｐ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回・週</t>
    </r>
    <r>
      <rPr>
        <sz val="10"/>
        <rFont val="ＭＳ Ｐゴシック"/>
        <family val="0"/>
        <charset val="1"/>
      </rPr>
      <t xml:space="preserve">960</t>
    </r>
    <r>
      <rPr>
        <sz val="10"/>
        <rFont val="WenQuanYi Zen Hei"/>
        <family val="2"/>
      </rPr>
      <t xml:space="preserve">分と期間最大の負荷だったのに、補食は</t>
    </r>
    <r>
      <rPr>
        <sz val="10"/>
        <rFont val="ＭＳ Ｐ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日中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日のみ。この週に疲労</t>
    </r>
    <r>
      <rPr>
        <sz val="10"/>
        <rFont val="ＭＳ Ｐ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が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回（</t>
    </r>
    <r>
      <rPr>
        <sz val="10"/>
        <rFont val="ＭＳ Ｐゴシック"/>
        <family val="0"/>
        <charset val="1"/>
      </rPr>
      <t xml:space="preserve">9/17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9/19</t>
    </r>
    <r>
      <rPr>
        <sz val="10"/>
        <rFont val="WenQuanYi Zen Hei"/>
        <family val="2"/>
      </rPr>
      <t xml:space="preserve">）、熱中症疑いも重なっています。
◯ 平均睡眠時間が</t>
    </r>
    <r>
      <rPr>
        <sz val="10"/>
        <rFont val="ＭＳ Ｐゴシック"/>
        <family val="0"/>
        <charset val="1"/>
      </rPr>
      <t xml:space="preserve">7.16h→6.72h</t>
    </r>
    <r>
      <rPr>
        <sz val="10"/>
        <rFont val="WenQuanYi Zen Hei"/>
        <family val="2"/>
      </rPr>
      <t xml:space="preserve">に減少し、</t>
    </r>
    <r>
      <rPr>
        <sz val="10"/>
        <rFont val="ＭＳ Ｐ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時間未満の日が</t>
    </r>
    <r>
      <rPr>
        <sz val="10"/>
        <rFont val="ＭＳ Ｐ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日（前回</t>
    </r>
    <r>
      <rPr>
        <sz val="10"/>
        <rFont val="ＭＳ Ｐ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日）。</t>
    </r>
    <r>
      <rPr>
        <sz val="10"/>
        <rFont val="ＭＳ Ｐゴシック"/>
        <family val="0"/>
        <charset val="1"/>
      </rPr>
      <t xml:space="preserve">8/2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8/12</t>
    </r>
    <r>
      <rPr>
        <sz val="10"/>
        <rFont val="WenQuanYi Zen Hei"/>
        <family val="2"/>
      </rPr>
      <t xml:space="preserve">（移動・遠征と思われる期間）は</t>
    </r>
    <r>
      <rPr>
        <sz val="10"/>
        <rFont val="ＭＳ Ｐゴシック"/>
        <family val="0"/>
        <charset val="1"/>
      </rPr>
      <t xml:space="preserve">5h</t>
    </r>
    <r>
      <rPr>
        <sz val="10"/>
        <rFont val="WenQuanYi Zen Hei"/>
        <family val="2"/>
      </rPr>
      <t xml:space="preserve">以下が続き、</t>
    </r>
    <r>
      <rPr>
        <sz val="10"/>
        <rFont val="ＭＳ Ｐゴシック"/>
        <family val="0"/>
        <charset val="1"/>
      </rPr>
      <t xml:space="preserve">8/11</t>
    </r>
    <r>
      <rPr>
        <sz val="10"/>
        <rFont val="WenQuanYi Zen Hei"/>
        <family val="2"/>
      </rPr>
      <t xml:space="preserve">は睡眠</t>
    </r>
    <r>
      <rPr>
        <sz val="10"/>
        <rFont val="ＭＳ Ｐゴシック"/>
        <family val="0"/>
        <charset val="1"/>
      </rPr>
      <t xml:space="preserve">3h</t>
    </r>
    <r>
      <rPr>
        <sz val="10"/>
        <rFont val="WenQuanYi Zen Hei"/>
        <family val="2"/>
      </rPr>
      <t xml:space="preserve">・睡眠の質</t>
    </r>
    <r>
      <rPr>
        <sz val="10"/>
        <rFont val="ＭＳ Ｐ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・起床時</t>
    </r>
    <r>
      <rPr>
        <sz val="10"/>
        <rFont val="ＭＳ Ｐゴシック"/>
        <family val="0"/>
        <charset val="1"/>
      </rPr>
      <t xml:space="preserve">CD4</t>
    </r>
    <r>
      <rPr>
        <sz val="10"/>
        <rFont val="WenQuanYi Zen Hei"/>
        <family val="2"/>
      </rPr>
      <t xml:space="preserve">。睡眠</t>
    </r>
    <r>
      <rPr>
        <sz val="10"/>
        <rFont val="ＭＳ Ｐゴシック"/>
        <family val="0"/>
        <charset val="1"/>
      </rPr>
      <t xml:space="preserve">6h</t>
    </r>
    <r>
      <rPr>
        <sz val="10"/>
        <rFont val="WenQuanYi Zen Hei"/>
        <family val="2"/>
      </rPr>
      <t xml:space="preserve">未満の日は起床時コンディションが</t>
    </r>
    <r>
      <rPr>
        <sz val="10"/>
        <rFont val="ＭＳ Ｐゴシック"/>
        <family val="0"/>
        <charset val="1"/>
      </rPr>
      <t xml:space="preserve">3.2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0"/>
        <charset val="1"/>
      </rPr>
      <t xml:space="preserve">6h</t>
    </r>
    <r>
      <rPr>
        <sz val="10"/>
        <rFont val="WenQuanYi Zen Hei"/>
        <family val="2"/>
      </rPr>
      <t xml:space="preserve">以上は</t>
    </r>
    <r>
      <rPr>
        <sz val="10"/>
        <rFont val="ＭＳ Ｐゴシック"/>
        <family val="0"/>
        <charset val="1"/>
      </rPr>
      <t xml:space="preserve">2.3</t>
    </r>
    <r>
      <rPr>
        <sz val="10"/>
        <rFont val="WenQuanYi Zen Hei"/>
        <family val="2"/>
      </rPr>
      <t xml:space="preserve">）と悪くなっています。遠征時の睡眠の確保（移動中の仮眠、アイマスク・耳栓など）を検討されてはいかがでしょうか。
◯ 体重は平均</t>
    </r>
    <r>
      <rPr>
        <sz val="10"/>
        <rFont val="ＭＳ Ｐゴシック"/>
        <family val="0"/>
        <charset val="1"/>
      </rPr>
      <t xml:space="preserve">61.3→62.5kg</t>
    </r>
    <r>
      <rPr>
        <sz val="10"/>
        <rFont val="WenQuanYi Zen Hei"/>
        <family val="2"/>
      </rPr>
      <t xml:space="preserve">（</t>
    </r>
    <r>
      <rPr>
        <sz val="10"/>
        <rFont val="ＭＳ Ｐゴシック"/>
        <family val="0"/>
        <charset val="1"/>
      </rPr>
      <t xml:space="preserve">+1.2kg</t>
    </r>
    <r>
      <rPr>
        <sz val="10"/>
        <rFont val="WenQuanYi Zen Hei"/>
        <family val="2"/>
      </rPr>
      <t xml:space="preserve">）、変動幅</t>
    </r>
    <r>
      <rPr>
        <sz val="10"/>
        <rFont val="ＭＳ Ｐゴシック"/>
        <family val="0"/>
        <charset val="1"/>
      </rPr>
      <t xml:space="preserve">2.4kg</t>
    </r>
    <r>
      <rPr>
        <sz val="10"/>
        <rFont val="WenQuanYi Zen Hei"/>
        <family val="2"/>
      </rPr>
      <t xml:space="preserve">（目安</t>
    </r>
    <r>
      <rPr>
        <sz val="10"/>
        <rFont val="ＭＳ Ｐゴシック"/>
        <family val="0"/>
        <charset val="1"/>
      </rPr>
      <t xml:space="preserve">1.5kg</t>
    </r>
    <r>
      <rPr>
        <sz val="10"/>
        <rFont val="WenQuanYi Zen Hei"/>
        <family val="2"/>
      </rPr>
      <t xml:space="preserve">以内）。ウエイト導入による筋量アップであれば良い変化ですが、</t>
    </r>
    <r>
      <rPr>
        <sz val="10"/>
        <rFont val="ＭＳ Ｐ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月は日ごとに</t>
    </r>
    <r>
      <rPr>
        <sz val="10"/>
        <rFont val="ＭＳ Ｐゴシック"/>
        <family val="0"/>
        <charset val="1"/>
      </rPr>
      <t xml:space="preserve">±0.5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1kg</t>
    </r>
    <r>
      <rPr>
        <sz val="10"/>
        <rFont val="WenQuanYi Zen Hei"/>
        <family val="2"/>
      </rPr>
      <t xml:space="preserve">上下しているため、測定タイミング（起床・排尿後など）を揃えると変化が読み取りやすくなります。増量・維持どちらを目指すかもコーチと共有しておくと安心です。</t>
    </r>
  </si>
  <si>
    <r>
      <rPr>
        <b val="true"/>
        <sz val="10"/>
        <color rgb="FF375623"/>
        <rFont val="WenQuanYi Zen Hei"/>
        <family val="2"/>
      </rPr>
      <t xml:space="preserve">③ 次の大会までの小さな目標（</t>
    </r>
    <r>
      <rPr>
        <b val="true"/>
        <sz val="10"/>
        <color rgb="FF375623"/>
        <rFont val="ＭＳ Ｐゴシック"/>
        <family val="0"/>
        <charset val="1"/>
      </rPr>
      <t xml:space="preserve">1</t>
    </r>
    <r>
      <rPr>
        <b val="true"/>
        <sz val="10"/>
        <color rgb="FF375623"/>
        <rFont val="WenQuanYi Zen Hei"/>
        <family val="2"/>
      </rPr>
      <t xml:space="preserve">つだけ）</t>
    </r>
  </si>
  <si>
    <r>
      <rPr>
        <sz val="10"/>
        <rFont val="WenQuanYi Zen Hei"/>
        <family val="2"/>
      </rPr>
      <t xml:space="preserve">◯ 「長い練習（</t>
    </r>
    <r>
      <rPr>
        <sz val="10"/>
        <rFont val="ＭＳ Ｐゴシック"/>
        <family val="0"/>
        <charset val="1"/>
      </rPr>
      <t xml:space="preserve">120</t>
    </r>
    <r>
      <rPr>
        <sz val="10"/>
        <rFont val="WenQuanYi Zen Hei"/>
        <family val="2"/>
      </rPr>
      <t xml:space="preserve">分以上）の日こそ補食」：練習バッグにおにぎり＋ゼリー飲料（または牛乳・豆乳）を必ず入れておき、練習後</t>
    </r>
    <r>
      <rPr>
        <sz val="10"/>
        <rFont val="ＭＳ Ｐゴシック"/>
        <family val="0"/>
        <charset val="1"/>
      </rPr>
      <t xml:space="preserve">30</t>
    </r>
    <r>
      <rPr>
        <sz val="10"/>
        <rFont val="WenQuanYi Zen Hei"/>
        <family val="2"/>
      </rPr>
      <t xml:space="preserve">分以内に摂る。暑い日は練習前〜練習中に冷たいスポーツドリンクを飲み、水分・糖質補給と体の冷却を同時に行う。</t>
    </r>
  </si>
  <si>
    <t xml:space="preserve">■ 選手から（自己振り返り欄）</t>
  </si>
  <si>
    <r>
      <rPr>
        <b val="true"/>
        <sz val="10"/>
        <rFont val="ＭＳ Ｐゴシック"/>
        <family val="0"/>
        <charset val="1"/>
      </rPr>
      <t xml:space="preserve">Q1. </t>
    </r>
    <r>
      <rPr>
        <b val="true"/>
        <sz val="10"/>
        <rFont val="WenQuanYi Zen Hei"/>
        <family val="2"/>
      </rPr>
      <t xml:space="preserve">今期間で「調子がよかった」と感じた日と、その理由</t>
    </r>
  </si>
  <si>
    <t xml:space="preserve">（選手記入欄）</t>
  </si>
  <si>
    <r>
      <rPr>
        <b val="true"/>
        <sz val="10"/>
        <rFont val="ＭＳ Ｐゴシック"/>
        <family val="0"/>
        <charset val="1"/>
      </rPr>
      <t xml:space="preserve">Q2. </t>
    </r>
    <r>
      <rPr>
        <b val="true"/>
        <sz val="10"/>
        <rFont val="WenQuanYi Zen Hei"/>
        <family val="2"/>
      </rPr>
      <t xml:space="preserve">逆に「うまくいかなかった」日と、思い当たる原因（暑さ・睡眠・食事など）</t>
    </r>
  </si>
  <si>
    <r>
      <rPr>
        <b val="true"/>
        <sz val="10"/>
        <rFont val="ＭＳ Ｐゴシック"/>
        <family val="0"/>
        <charset val="1"/>
      </rPr>
      <t xml:space="preserve">Q3. </t>
    </r>
    <r>
      <rPr>
        <b val="true"/>
        <sz val="10"/>
        <rFont val="WenQuanYi Zen Hei"/>
        <family val="2"/>
      </rPr>
      <t xml:space="preserve">次に試してみたいこと（食事・睡眠・練習どれか</t>
    </r>
    <r>
      <rPr>
        <b val="true"/>
        <sz val="10"/>
        <rFont val="ＭＳ Ｐ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つ）</t>
    </r>
  </si>
  <si>
    <r>
      <rPr>
        <b val="true"/>
        <sz val="12"/>
        <color rgb="FFFFFFFF"/>
        <rFont val="WenQuanYi Zen Hei"/>
        <family val="2"/>
      </rPr>
      <t xml:space="preserve">日次統合データ（全項目を</t>
    </r>
    <r>
      <rPr>
        <b val="true"/>
        <sz val="12"/>
        <color rgb="FFFFFFFF"/>
        <rFont val="ＭＳ Ｐゴシック"/>
        <family val="0"/>
        <charset val="1"/>
      </rPr>
      <t xml:space="preserve">1</t>
    </r>
    <r>
      <rPr>
        <b val="true"/>
        <sz val="12"/>
        <color rgb="FFFFFFFF"/>
        <rFont val="WenQuanYi Zen Hei"/>
        <family val="2"/>
      </rPr>
      <t xml:space="preserve">行で確認）　　緑＝良好／オレンジ・赤＝注意／グレー＝休養日</t>
    </r>
  </si>
  <si>
    <t xml:space="preserve">日付</t>
  </si>
  <si>
    <t xml:space="preserve">種目</t>
  </si>
  <si>
    <r>
      <rPr>
        <b val="true"/>
        <sz val="10"/>
        <color rgb="FFFFFFFF"/>
        <rFont val="WenQuanYi Zen Hei"/>
        <family val="2"/>
      </rPr>
      <t xml:space="preserve">練習時間</t>
    </r>
    <r>
      <rPr>
        <b val="true"/>
        <sz val="10"/>
        <color rgb="FFFFFFFF"/>
        <rFont val="ＭＳ Ｐ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分</t>
    </r>
    <r>
      <rPr>
        <b val="true"/>
        <sz val="10"/>
        <color rgb="FFFFFFFF"/>
        <rFont val="ＭＳ Ｐゴシック"/>
        <family val="0"/>
        <charset val="1"/>
      </rPr>
      <t xml:space="preserve">)</t>
    </r>
  </si>
  <si>
    <t xml:space="preserve">RPE</t>
  </si>
  <si>
    <t xml:space="preserve">瞬発力</t>
  </si>
  <si>
    <t xml:space="preserve">持久力</t>
  </si>
  <si>
    <t xml:space="preserve">運動後疲労</t>
  </si>
  <si>
    <r>
      <rPr>
        <b val="true"/>
        <sz val="10"/>
        <color rgb="FFFFFFFF"/>
        <rFont val="WenQuanYi Zen Hei"/>
        <family val="2"/>
      </rPr>
      <t xml:space="preserve">体重</t>
    </r>
    <r>
      <rPr>
        <b val="true"/>
        <sz val="10"/>
        <color rgb="FFFFFFFF"/>
        <rFont val="ＭＳ Ｐゴシック"/>
        <family val="0"/>
        <charset val="1"/>
      </rPr>
      <t xml:space="preserve">(kg)</t>
    </r>
  </si>
  <si>
    <r>
      <rPr>
        <b val="true"/>
        <sz val="10"/>
        <color rgb="FFFFFFFF"/>
        <rFont val="WenQuanYi Zen Hei"/>
        <family val="2"/>
      </rPr>
      <t xml:space="preserve">起床時</t>
    </r>
    <r>
      <rPr>
        <b val="true"/>
        <sz val="10"/>
        <color rgb="FFFFFFFF"/>
        <rFont val="ＭＳ Ｐゴシック"/>
        <family val="0"/>
        <charset val="1"/>
      </rPr>
      <t xml:space="preserve">CD</t>
    </r>
  </si>
  <si>
    <t xml:space="preserve">睡眠の質</t>
  </si>
  <si>
    <r>
      <rPr>
        <b val="true"/>
        <sz val="10"/>
        <color rgb="FFFFFFFF"/>
        <rFont val="WenQuanYi Zen Hei"/>
        <family val="2"/>
      </rPr>
      <t xml:space="preserve">睡眠時間</t>
    </r>
    <r>
      <rPr>
        <b val="true"/>
        <sz val="10"/>
        <color rgb="FFFFFFFF"/>
        <rFont val="ＭＳ Ｐゴシック"/>
        <family val="0"/>
        <charset val="1"/>
      </rPr>
      <t xml:space="preserve">(h)</t>
    </r>
  </si>
  <si>
    <t xml:space="preserve">補食</t>
  </si>
  <si>
    <r>
      <rPr>
        <b val="true"/>
        <sz val="10"/>
        <color rgb="FFFFFFFF"/>
        <rFont val="WenQuanYi Zen Hei"/>
        <family val="2"/>
      </rPr>
      <t xml:space="preserve">栄養</t>
    </r>
    <r>
      <rPr>
        <b val="true"/>
        <sz val="10"/>
        <color rgb="FFFFFFFF"/>
        <rFont val="ＭＳ Ｐゴシック"/>
        <family val="0"/>
        <charset val="1"/>
      </rPr>
      <t xml:space="preserve">Bal</t>
    </r>
  </si>
  <si>
    <r>
      <rPr>
        <b val="true"/>
        <sz val="10"/>
        <color rgb="FFFFFFFF"/>
        <rFont val="WenQuanYi Zen Hei"/>
        <family val="2"/>
      </rPr>
      <t xml:space="preserve">水分</t>
    </r>
    <r>
      <rPr>
        <b val="true"/>
        <sz val="10"/>
        <color rgb="FFFFFFFF"/>
        <rFont val="ＭＳ Ｐゴシック"/>
        <family val="0"/>
        <charset val="1"/>
      </rPr>
      <t xml:space="preserve">(ml)</t>
    </r>
  </si>
  <si>
    <t xml:space="preserve">メモ</t>
  </si>
  <si>
    <t xml:space="preserve">実践トレーニング</t>
  </si>
  <si>
    <t xml:space="preserve">はい</t>
  </si>
  <si>
    <t xml:space="preserve">いいえ</t>
  </si>
  <si>
    <t xml:space="preserve">久しぶりの外でのトレーニング
暑すぎてパフォーマンス上がらなかった</t>
  </si>
  <si>
    <t xml:space="preserve">実践＋ウエイト</t>
  </si>
  <si>
    <r>
      <rPr>
        <sz val="10"/>
        <rFont val="ＭＳ Ｐゴシック"/>
        <family val="0"/>
        <charset val="1"/>
      </rPr>
      <t xml:space="preserve">[</t>
    </r>
    <r>
      <rPr>
        <sz val="10"/>
        <rFont val="WenQuanYi Zen Hei"/>
        <family val="2"/>
      </rPr>
      <t xml:space="preserve">ウエイト</t>
    </r>
    <r>
      <rPr>
        <sz val="10"/>
        <rFont val="ＭＳ Ｐゴシック"/>
        <family val="0"/>
        <charset val="1"/>
      </rPr>
      <t xml:space="preserve">] </t>
    </r>
    <r>
      <rPr>
        <sz val="10"/>
        <rFont val="WenQuanYi Zen Hei"/>
        <family val="2"/>
      </rPr>
      <t xml:space="preserve">暑かった</t>
    </r>
  </si>
  <si>
    <r>
      <rPr>
        <sz val="10"/>
        <rFont val="ＭＳ Ｐゴシック"/>
        <family val="0"/>
        <charset val="1"/>
      </rPr>
      <t xml:space="preserve">[</t>
    </r>
    <r>
      <rPr>
        <sz val="10"/>
        <rFont val="WenQuanYi Zen Hei"/>
        <family val="2"/>
      </rPr>
      <t xml:space="preserve">実践</t>
    </r>
    <r>
      <rPr>
        <sz val="10"/>
        <rFont val="ＭＳ Ｐゴシック"/>
        <family val="0"/>
        <charset val="1"/>
      </rPr>
      <t xml:space="preserve">] </t>
    </r>
    <r>
      <rPr>
        <sz val="10"/>
        <rFont val="WenQuanYi Zen Hei"/>
        <family val="2"/>
      </rPr>
      <t xml:space="preserve">久しぶりの実走 </t>
    </r>
    <r>
      <rPr>
        <sz val="10"/>
        <rFont val="ＭＳ Ｐゴシック"/>
        <family val="0"/>
        <charset val="1"/>
      </rPr>
      <t xml:space="preserve">/ [</t>
    </r>
    <r>
      <rPr>
        <sz val="10"/>
        <rFont val="WenQuanYi Zen Hei"/>
        <family val="2"/>
      </rPr>
      <t xml:space="preserve">ウエイト</t>
    </r>
    <r>
      <rPr>
        <sz val="10"/>
        <rFont val="ＭＳ Ｐゴシック"/>
        <family val="0"/>
        <charset val="1"/>
      </rPr>
      <t xml:space="preserve">] </t>
    </r>
    <r>
      <rPr>
        <sz val="10"/>
        <rFont val="WenQuanYi Zen Hei"/>
        <family val="2"/>
      </rPr>
      <t xml:space="preserve">扱う重量に慣れてきた</t>
    </r>
  </si>
  <si>
    <t xml:space="preserve">湿度のせいかな</t>
  </si>
  <si>
    <t xml:space="preserve">移動疲れかも</t>
  </si>
  <si>
    <t xml:space="preserve">休養日</t>
  </si>
  <si>
    <t xml:space="preserve">暑かった</t>
  </si>
  <si>
    <r>
      <rPr>
        <sz val="10"/>
        <rFont val="WenQuanYi Zen Hei"/>
        <family val="2"/>
      </rPr>
      <t xml:space="preserve">日福記録会　動きが遅くピッチが出なかったけど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発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発の伸びは大きかった</t>
    </r>
  </si>
  <si>
    <t xml:space="preserve">湿度が高かったから？</t>
  </si>
  <si>
    <t xml:space="preserve">熱中症になったかも</t>
  </si>
  <si>
    <t xml:space="preserve">涼しかったせいか？</t>
  </si>
  <si>
    <t xml:space="preserve">原因不明
昨日まで曇りで今日暑かったせいか</t>
  </si>
  <si>
    <r>
      <rPr>
        <b val="true"/>
        <sz val="10"/>
        <rFont val="WenQuanYi Zen Hei"/>
        <family val="2"/>
      </rPr>
      <t xml:space="preserve">平均</t>
    </r>
    <r>
      <rPr>
        <b val="true"/>
        <sz val="10"/>
        <rFont val="ＭＳ Ｐ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合計</t>
    </r>
  </si>
  <si>
    <r>
      <rPr>
        <sz val="8"/>
        <color rgb="FF666666"/>
        <rFont val="ＭＳ Ｐゴシック"/>
        <family val="0"/>
        <charset val="1"/>
      </rPr>
      <t xml:space="preserve">6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ＭＳ Ｐゴシック"/>
        <family val="0"/>
        <charset val="1"/>
      </rPr>
      <t xml:space="preserve">7=</t>
    </r>
    <r>
      <rPr>
        <sz val="8"/>
        <color rgb="FF666666"/>
        <rFont val="WenQuanYi Zen Hei"/>
        <family val="2"/>
      </rPr>
      <t xml:space="preserve">緑 </t>
    </r>
    <r>
      <rPr>
        <sz val="8"/>
        <color rgb="FF666666"/>
        <rFont val="ＭＳ Ｐゴシック"/>
        <family val="0"/>
        <charset val="1"/>
      </rPr>
      <t xml:space="preserve">/ 8↑=</t>
    </r>
    <r>
      <rPr>
        <sz val="8"/>
        <color rgb="FF666666"/>
        <rFont val="WenQuanYi Zen Hei"/>
        <family val="2"/>
      </rPr>
      <t xml:space="preserve">橙</t>
    </r>
  </si>
  <si>
    <r>
      <rPr>
        <sz val="8"/>
        <color rgb="FF666666"/>
        <rFont val="ＭＳ Ｐゴシック"/>
        <family val="0"/>
        <charset val="1"/>
      </rPr>
      <t xml:space="preserve">4↑=</t>
    </r>
    <r>
      <rPr>
        <sz val="8"/>
        <color rgb="FF666666"/>
        <rFont val="WenQuanYi Zen Hei"/>
        <family val="2"/>
      </rPr>
      <t xml:space="preserve">緑 </t>
    </r>
    <r>
      <rPr>
        <sz val="8"/>
        <color rgb="FF666666"/>
        <rFont val="ＭＳ Ｐゴシック"/>
        <family val="0"/>
        <charset val="1"/>
      </rPr>
      <t xml:space="preserve">/ 2↓=</t>
    </r>
    <r>
      <rPr>
        <sz val="8"/>
        <color rgb="FF666666"/>
        <rFont val="WenQuanYi Zen Hei"/>
        <family val="2"/>
      </rPr>
      <t xml:space="preserve">橙</t>
    </r>
  </si>
  <si>
    <r>
      <rPr>
        <sz val="8"/>
        <color rgb="FF666666"/>
        <rFont val="ＭＳ Ｐゴシック"/>
        <family val="0"/>
        <charset val="1"/>
      </rPr>
      <t xml:space="preserve">≤3</t>
    </r>
    <r>
      <rPr>
        <sz val="8"/>
        <color rgb="FF666666"/>
        <rFont val="WenQuanYi Zen Hei"/>
        <family val="2"/>
      </rPr>
      <t xml:space="preserve">緑</t>
    </r>
    <r>
      <rPr>
        <sz val="8"/>
        <color rgb="FF666666"/>
        <rFont val="ＭＳ Ｐゴシック"/>
        <family val="0"/>
        <charset val="1"/>
      </rPr>
      <t xml:space="preserve">/4</t>
    </r>
    <r>
      <rPr>
        <sz val="8"/>
        <color rgb="FF666666"/>
        <rFont val="WenQuanYi Zen Hei"/>
        <family val="2"/>
      </rPr>
      <t xml:space="preserve">橙</t>
    </r>
    <r>
      <rPr>
        <sz val="8"/>
        <color rgb="FF666666"/>
        <rFont val="ＭＳ Ｐゴシック"/>
        <family val="0"/>
        <charset val="1"/>
      </rPr>
      <t xml:space="preserve">/5</t>
    </r>
    <r>
      <rPr>
        <sz val="8"/>
        <color rgb="FF666666"/>
        <rFont val="WenQuanYi Zen Hei"/>
        <family val="2"/>
      </rPr>
      <t xml:space="preserve">赤</t>
    </r>
  </si>
  <si>
    <r>
      <rPr>
        <sz val="8"/>
        <color rgb="FF666666"/>
        <rFont val="ＭＳ Ｐゴシック"/>
        <family val="0"/>
        <charset val="1"/>
      </rPr>
      <t xml:space="preserve">≤2</t>
    </r>
    <r>
      <rPr>
        <sz val="8"/>
        <color rgb="FF666666"/>
        <rFont val="WenQuanYi Zen Hei"/>
        <family val="2"/>
      </rPr>
      <t xml:space="preserve">緑</t>
    </r>
    <r>
      <rPr>
        <sz val="8"/>
        <color rgb="FF666666"/>
        <rFont val="ＭＳ Ｐゴシック"/>
        <family val="0"/>
        <charset val="1"/>
      </rPr>
      <t xml:space="preserve">/4↑</t>
    </r>
    <r>
      <rPr>
        <sz val="8"/>
        <color rgb="FF666666"/>
        <rFont val="WenQuanYi Zen Hei"/>
        <family val="2"/>
      </rPr>
      <t xml:space="preserve">橙</t>
    </r>
  </si>
  <si>
    <r>
      <rPr>
        <sz val="8"/>
        <color rgb="FF666666"/>
        <rFont val="ＭＳ Ｐゴシック"/>
        <family val="0"/>
        <charset val="1"/>
      </rPr>
      <t xml:space="preserve">7h↑</t>
    </r>
    <r>
      <rPr>
        <sz val="8"/>
        <color rgb="FF666666"/>
        <rFont val="WenQuanYi Zen Hei"/>
        <family val="2"/>
      </rPr>
      <t xml:space="preserve">緑</t>
    </r>
    <r>
      <rPr>
        <sz val="8"/>
        <color rgb="FF666666"/>
        <rFont val="ＭＳ Ｐゴシック"/>
        <family val="0"/>
        <charset val="1"/>
      </rPr>
      <t xml:space="preserve">/6h</t>
    </r>
    <r>
      <rPr>
        <sz val="8"/>
        <color rgb="FF666666"/>
        <rFont val="WenQuanYi Zen Hei"/>
        <family val="2"/>
      </rPr>
      <t xml:space="preserve">台橙</t>
    </r>
    <r>
      <rPr>
        <sz val="8"/>
        <color rgb="FF666666"/>
        <rFont val="ＭＳ Ｐゴシック"/>
        <family val="0"/>
        <charset val="1"/>
      </rPr>
      <t xml:space="preserve">/6h</t>
    </r>
    <r>
      <rPr>
        <sz val="8"/>
        <color rgb="FF666666"/>
        <rFont val="WenQuanYi Zen Hei"/>
        <family val="2"/>
      </rPr>
      <t xml:space="preserve">未満赤</t>
    </r>
  </si>
  <si>
    <r>
      <rPr>
        <sz val="8"/>
        <color rgb="FF666666"/>
        <rFont val="WenQuanYi Zen Hei"/>
        <family val="2"/>
      </rPr>
      <t xml:space="preserve">練習日いいえ</t>
    </r>
    <r>
      <rPr>
        <sz val="8"/>
        <color rgb="FF666666"/>
        <rFont val="ＭＳ Ｐゴシック"/>
        <family val="0"/>
        <charset val="1"/>
      </rPr>
      <t xml:space="preserve">=</t>
    </r>
    <r>
      <rPr>
        <sz val="8"/>
        <color rgb="FF666666"/>
        <rFont val="WenQuanYi Zen Hei"/>
        <family val="2"/>
      </rPr>
      <t xml:space="preserve">橙</t>
    </r>
  </si>
  <si>
    <r>
      <rPr>
        <sz val="8"/>
        <color rgb="FF666666"/>
        <rFont val="ＭＳ Ｐゴシック"/>
        <family val="0"/>
        <charset val="1"/>
      </rPr>
      <t xml:space="preserve">1000</t>
    </r>
    <r>
      <rPr>
        <sz val="8"/>
        <color rgb="FF666666"/>
        <rFont val="WenQuanYi Zen Hei"/>
        <family val="2"/>
      </rPr>
      <t xml:space="preserve">未満</t>
    </r>
    <r>
      <rPr>
        <sz val="8"/>
        <color rgb="FF666666"/>
        <rFont val="ＭＳ Ｐゴシック"/>
        <family val="0"/>
        <charset val="1"/>
      </rPr>
      <t xml:space="preserve">=</t>
    </r>
    <r>
      <rPr>
        <sz val="8"/>
        <color rgb="FF666666"/>
        <rFont val="WenQuanYi Zen Hei"/>
        <family val="2"/>
      </rPr>
      <t xml:space="preserve">橙</t>
    </r>
  </si>
  <si>
    <t xml:space="preserve">タンパク源バランス（色がついている＝摂取あり）</t>
  </si>
  <si>
    <t xml:space="preserve">◎ 「魚・肉・豆・卵」がバランスよく揃うと回復が早まります。空白マスが多い列は意識的に増やしましょう。</t>
  </si>
  <si>
    <r>
      <rPr>
        <b val="true"/>
        <sz val="9"/>
        <color rgb="FFFFFFFF"/>
        <rFont val="WenQuanYi Zen Hei"/>
        <family val="2"/>
      </rPr>
      <t xml:space="preserve">昼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魚</t>
    </r>
  </si>
  <si>
    <r>
      <rPr>
        <b val="true"/>
        <sz val="9"/>
        <color rgb="FFFFFFFF"/>
        <rFont val="WenQuanYi Zen Hei"/>
        <family val="2"/>
      </rPr>
      <t xml:space="preserve">昼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肉</t>
    </r>
  </si>
  <si>
    <r>
      <rPr>
        <b val="true"/>
        <sz val="9"/>
        <color rgb="FFFFFFFF"/>
        <rFont val="WenQuanYi Zen Hei"/>
        <family val="2"/>
      </rPr>
      <t xml:space="preserve">昼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豆</t>
    </r>
  </si>
  <si>
    <r>
      <rPr>
        <b val="true"/>
        <sz val="9"/>
        <color rgb="FFFFFFFF"/>
        <rFont val="WenQuanYi Zen Hei"/>
        <family val="2"/>
      </rPr>
      <t xml:space="preserve">昼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卵</t>
    </r>
  </si>
  <si>
    <r>
      <rPr>
        <b val="true"/>
        <sz val="9"/>
        <color rgb="FFFFFFFF"/>
        <rFont val="WenQuanYi Zen Hei"/>
        <family val="2"/>
      </rPr>
      <t xml:space="preserve">夕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魚</t>
    </r>
  </si>
  <si>
    <r>
      <rPr>
        <b val="true"/>
        <sz val="9"/>
        <color rgb="FFFFFFFF"/>
        <rFont val="WenQuanYi Zen Hei"/>
        <family val="2"/>
      </rPr>
      <t xml:space="preserve">夕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肉</t>
    </r>
  </si>
  <si>
    <r>
      <rPr>
        <b val="true"/>
        <sz val="9"/>
        <color rgb="FFFFFFFF"/>
        <rFont val="WenQuanYi Zen Hei"/>
        <family val="2"/>
      </rPr>
      <t xml:space="preserve">夕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豆</t>
    </r>
  </si>
  <si>
    <r>
      <rPr>
        <b val="true"/>
        <sz val="9"/>
        <color rgb="FFFFFFFF"/>
        <rFont val="WenQuanYi Zen Hei"/>
        <family val="2"/>
      </rPr>
      <t xml:space="preserve">夕</t>
    </r>
    <r>
      <rPr>
        <b val="true"/>
        <sz val="9"/>
        <color rgb="FFFFFFFF"/>
        <rFont val="ＭＳ Ｐゴシック"/>
        <family val="0"/>
        <charset val="1"/>
      </rPr>
      <t xml:space="preserve">:</t>
    </r>
    <r>
      <rPr>
        <b val="true"/>
        <sz val="9"/>
        <color rgb="FFFFFFFF"/>
        <rFont val="WenQuanYi Zen Hei"/>
        <family val="2"/>
      </rPr>
      <t xml:space="preserve">卵</t>
    </r>
  </si>
  <si>
    <r>
      <rPr>
        <b val="true"/>
        <sz val="9"/>
        <color rgb="FFFFFFFF"/>
        <rFont val="WenQuanYi Zen Hei"/>
        <family val="2"/>
      </rPr>
      <t xml:space="preserve">種類数</t>
    </r>
    <r>
      <rPr>
        <b val="true"/>
        <sz val="9"/>
        <color rgb="FFFFFFFF"/>
        <rFont val="ＭＳ Ｐゴシック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昼</t>
    </r>
    <r>
      <rPr>
        <b val="true"/>
        <sz val="9"/>
        <color rgb="FFFFFFFF"/>
        <rFont val="ＭＳ Ｐゴシック"/>
        <family val="0"/>
        <charset val="1"/>
      </rPr>
      <t xml:space="preserve">+</t>
    </r>
    <r>
      <rPr>
        <b val="true"/>
        <sz val="9"/>
        <color rgb="FFFFFFFF"/>
        <rFont val="WenQuanYi Zen Hei"/>
        <family val="2"/>
      </rPr>
      <t xml:space="preserve">夕</t>
    </r>
    <r>
      <rPr>
        <b val="true"/>
        <sz val="9"/>
        <color rgb="FFFFFFFF"/>
        <rFont val="ＭＳ Ｐゴシック"/>
        <family val="0"/>
        <charset val="1"/>
      </rPr>
      <t xml:space="preserve">)</t>
    </r>
  </si>
  <si>
    <t xml:space="preserve">○</t>
  </si>
  <si>
    <t xml:space="preserve">摂取日数</t>
  </si>
  <si>
    <r>
      <rPr>
        <sz val="8"/>
        <color rgb="FF666666"/>
        <rFont val="WenQuanYi Zen Hei"/>
        <family val="2"/>
      </rPr>
      <t xml:space="preserve">前期間</t>
    </r>
    <r>
      <rPr>
        <sz val="8"/>
        <color rgb="FF666666"/>
        <rFont val="ＭＳ Ｐゴシック"/>
        <family val="0"/>
        <charset val="1"/>
      </rPr>
      <t xml:space="preserve">(3/30</t>
    </r>
    <r>
      <rPr>
        <sz val="8"/>
        <color rgb="FF666666"/>
        <rFont val="WenQuanYi Zen Hei"/>
        <family val="2"/>
      </rPr>
      <t xml:space="preserve">〜</t>
    </r>
    <r>
      <rPr>
        <sz val="8"/>
        <color rgb="FF666666"/>
        <rFont val="ＭＳ Ｐゴシック"/>
        <family val="0"/>
        <charset val="1"/>
      </rPr>
      <t xml:space="preserve">5/22)</t>
    </r>
  </si>
  <si>
    <t xml:space="preserve">■ 改善のヒント</t>
  </si>
  <si>
    <r>
      <rPr>
        <sz val="10"/>
        <rFont val="WenQuanYi Zen Hei"/>
        <family val="2"/>
      </rPr>
      <t xml:space="preserve">・前回の「弱点」だった夕食の豆・卵は大きく改善（豆</t>
    </r>
    <r>
      <rPr>
        <sz val="10"/>
        <rFont val="ＭＳ Ｐゴシック"/>
        <family val="0"/>
        <charset val="1"/>
      </rPr>
      <t xml:space="preserve">15→25</t>
    </r>
    <r>
      <rPr>
        <sz val="10"/>
        <rFont val="WenQuanYi Zen Hei"/>
        <family val="2"/>
      </rPr>
      <t xml:space="preserve">日、卵</t>
    </r>
    <r>
      <rPr>
        <sz val="10"/>
        <rFont val="ＭＳ Ｐゴシック"/>
        <family val="0"/>
        <charset val="1"/>
      </rPr>
      <t xml:space="preserve">15→38</t>
    </r>
    <r>
      <rPr>
        <sz val="10"/>
        <rFont val="WenQuanYi Zen Hei"/>
        <family val="2"/>
      </rPr>
      <t xml:space="preserve">日）。夕食は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種がそろう日も増えています。</t>
    </r>
  </si>
  <si>
    <r>
      <rPr>
        <sz val="10"/>
        <rFont val="WenQuanYi Zen Hei"/>
        <family val="2"/>
      </rPr>
      <t xml:space="preserve">・今期間も一番少ないのは「昼の豆（</t>
    </r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日）」「昼の魚（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日）」。昼食は肉・卵に偏りがち。コンビニでも買える納豆巻き・サバ缶・ツナおにぎり・豆腐バーなどで週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回の</t>
    </r>
    <r>
      <rPr>
        <sz val="10"/>
        <rFont val="ＭＳ Ｐゴシック"/>
        <family val="0"/>
        <charset val="1"/>
      </rPr>
      <t xml:space="preserve">+1</t>
    </r>
    <r>
      <rPr>
        <sz val="10"/>
        <rFont val="WenQuanYi Zen Hei"/>
        <family val="2"/>
      </rPr>
      <t xml:space="preserve">を目標に。</t>
    </r>
  </si>
  <si>
    <r>
      <rPr>
        <sz val="10"/>
        <rFont val="WenQuanYi Zen Hei"/>
        <family val="2"/>
      </rPr>
      <t xml:space="preserve">・昼食のタンパク源が</t>
    </r>
    <r>
      <rPr>
        <sz val="10"/>
        <rFont val="ＭＳ Ｐ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種の日が</t>
    </r>
    <r>
      <rPr>
        <sz val="10"/>
        <rFont val="ＭＳ Ｐ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日（前回</t>
    </r>
    <r>
      <rPr>
        <sz val="10"/>
        <rFont val="ＭＳ Ｐゴシック"/>
        <family val="0"/>
        <charset val="1"/>
      </rPr>
      <t xml:space="preserve">25</t>
    </r>
    <r>
      <rPr>
        <sz val="10"/>
        <rFont val="WenQuanYi Zen Hei"/>
        <family val="2"/>
      </rPr>
      <t xml:space="preserve">日）。外出・遠征日に多い傾向なので、持ち運びしやすいゆで卵・サラダチキン・魚肉ソーセージを活用すると簡単に</t>
    </r>
    <r>
      <rPr>
        <sz val="10"/>
        <rFont val="ＭＳ Ｐゴシック"/>
        <family val="0"/>
        <charset val="1"/>
      </rPr>
      <t xml:space="preserve">+1</t>
    </r>
    <r>
      <rPr>
        <sz val="10"/>
        <rFont val="WenQuanYi Zen Hei"/>
        <family val="2"/>
      </rPr>
      <t xml:space="preserve">できる。</t>
    </r>
  </si>
  <si>
    <r>
      <rPr>
        <sz val="10"/>
        <rFont val="WenQuanYi Zen Hei"/>
        <family val="2"/>
      </rPr>
      <t xml:space="preserve">・種類数が</t>
    </r>
    <r>
      <rPr>
        <sz val="10"/>
        <rFont val="ＭＳ Ｐ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の日（</t>
    </r>
    <r>
      <rPr>
        <sz val="10"/>
        <rFont val="ＭＳ Ｐゴシック"/>
        <family val="0"/>
        <charset val="1"/>
      </rPr>
      <t xml:space="preserve">8/16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8/18</t>
    </r>
    <r>
      <rPr>
        <sz val="10"/>
        <rFont val="WenQuanYi Zen Hei"/>
        <family val="2"/>
      </rPr>
      <t xml:space="preserve">・</t>
    </r>
    <r>
      <rPr>
        <sz val="10"/>
        <rFont val="ＭＳ Ｐゴシック"/>
        <family val="0"/>
        <charset val="1"/>
      </rPr>
      <t xml:space="preserve">8/22</t>
    </r>
    <r>
      <rPr>
        <sz val="10"/>
        <rFont val="WenQuanYi Zen Hei"/>
        <family val="2"/>
      </rPr>
      <t xml:space="preserve">記録会・</t>
    </r>
    <r>
      <rPr>
        <sz val="10"/>
        <rFont val="ＭＳ Ｐゴシック"/>
        <family val="0"/>
        <charset val="1"/>
      </rPr>
      <t xml:space="preserve">10/4</t>
    </r>
    <r>
      <rPr>
        <sz val="10"/>
        <rFont val="WenQuanYi Zen Hei"/>
        <family val="2"/>
      </rPr>
      <t xml:space="preserve">）は練習・大会で忙しい日。忙しい日ほど「とりあえず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品」を決めておくと安心。</t>
    </r>
  </si>
  <si>
    <t xml:space="preserve">トレンドグラフ（時系列）</t>
  </si>
  <si>
    <r>
      <rPr>
        <sz val="10"/>
        <rFont val="WenQuanYi Zen Hei"/>
        <family val="2"/>
      </rPr>
      <t xml:space="preserve">グラフ元データは「② 日次統合データ」を参照しています。空白期間（</t>
    </r>
    <r>
      <rPr>
        <sz val="10"/>
        <rFont val="ＭＳ Ｐゴシック"/>
        <family val="0"/>
        <charset val="1"/>
      </rPr>
      <t xml:space="preserve">8/5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8/10</t>
    </r>
    <r>
      <rPr>
        <sz val="10"/>
        <rFont val="WenQuanYi Zen Hei"/>
        <family val="2"/>
      </rPr>
      <t xml:space="preserve">）は記録なし。</t>
    </r>
  </si>
  <si>
    <t xml:space="preserve">■ 週間トレーニング時間（月曜始まり）</t>
  </si>
  <si>
    <r>
      <rPr>
        <b val="true"/>
        <sz val="10"/>
        <color rgb="FFFFFFFF"/>
        <rFont val="WenQuanYi Zen Hei"/>
        <family val="2"/>
      </rPr>
      <t xml:space="preserve">週の開始</t>
    </r>
    <r>
      <rPr>
        <b val="true"/>
        <sz val="10"/>
        <color rgb="FFFFFFFF"/>
        <rFont val="ＭＳ Ｐゴシック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月</t>
    </r>
    <r>
      <rPr>
        <b val="true"/>
        <sz val="10"/>
        <color rgb="FFFFFFFF"/>
        <rFont val="ＭＳ Ｐゴシック"/>
        <family val="0"/>
        <charset val="1"/>
      </rPr>
      <t xml:space="preserve">)</t>
    </r>
  </si>
  <si>
    <t xml:space="preserve">練習日数</t>
  </si>
  <si>
    <r>
      <rPr>
        <b val="true"/>
        <sz val="10"/>
        <color rgb="FFFFFFFF"/>
        <rFont val="WenQuanYi Zen Hei"/>
        <family val="2"/>
      </rPr>
      <t xml:space="preserve">平均</t>
    </r>
    <r>
      <rPr>
        <b val="true"/>
        <sz val="10"/>
        <color rgb="FFFFFFFF"/>
        <rFont val="ＭＳ Ｐゴシック"/>
        <family val="0"/>
        <charset val="1"/>
      </rPr>
      <t xml:space="preserve">RPE</t>
    </r>
  </si>
  <si>
    <t xml:space="preserve">平均運動後疲労</t>
  </si>
  <si>
    <t xml:space="preserve">補食「はい」日数</t>
  </si>
  <si>
    <r>
      <rPr>
        <sz val="9"/>
        <color rgb="FFC00000"/>
        <rFont val="ＭＳ Ｐゴシック"/>
        <family val="0"/>
        <charset val="1"/>
      </rPr>
      <t xml:space="preserve">※ 8/3</t>
    </r>
    <r>
      <rPr>
        <sz val="9"/>
        <color rgb="FFC00000"/>
        <rFont val="WenQuanYi Zen Hei"/>
        <family val="2"/>
      </rPr>
      <t xml:space="preserve">〜</t>
    </r>
    <r>
      <rPr>
        <sz val="9"/>
        <color rgb="FFC00000"/>
        <rFont val="ＭＳ Ｐゴシック"/>
        <family val="0"/>
        <charset val="1"/>
      </rPr>
      <t xml:space="preserve">8/9</t>
    </r>
    <r>
      <rPr>
        <sz val="9"/>
        <color rgb="FFC00000"/>
        <rFont val="WenQuanYi Zen Hei"/>
        <family val="2"/>
      </rPr>
      <t xml:space="preserve">週は記録が</t>
    </r>
    <r>
      <rPr>
        <sz val="9"/>
        <color rgb="FFC00000"/>
        <rFont val="ＭＳ Ｐゴシック"/>
        <family val="0"/>
        <charset val="1"/>
      </rPr>
      <t xml:space="preserve">8/4</t>
    </r>
    <r>
      <rPr>
        <sz val="9"/>
        <color rgb="FFC00000"/>
        <rFont val="WenQuanYi Zen Hei"/>
        <family val="2"/>
      </rPr>
      <t xml:space="preserve">のみ。</t>
    </r>
    <r>
      <rPr>
        <sz val="9"/>
        <color rgb="FFC00000"/>
        <rFont val="ＭＳ Ｐゴシック"/>
        <family val="0"/>
        <charset val="1"/>
      </rPr>
      <t xml:space="preserve">9/14</t>
    </r>
    <r>
      <rPr>
        <sz val="9"/>
        <color rgb="FFC00000"/>
        <rFont val="WenQuanYi Zen Hei"/>
        <family val="2"/>
      </rPr>
      <t xml:space="preserve">〜</t>
    </r>
    <r>
      <rPr>
        <sz val="9"/>
        <color rgb="FFC00000"/>
        <rFont val="ＭＳ Ｐゴシック"/>
        <family val="0"/>
        <charset val="1"/>
      </rPr>
      <t xml:space="preserve">9/20</t>
    </r>
    <r>
      <rPr>
        <sz val="9"/>
        <color rgb="FFC00000"/>
        <rFont val="WenQuanYi Zen Hei"/>
        <family val="2"/>
      </rPr>
      <t xml:space="preserve">週が期間最多（</t>
    </r>
    <r>
      <rPr>
        <sz val="9"/>
        <color rgb="FFC00000"/>
        <rFont val="ＭＳ Ｐゴシック"/>
        <family val="0"/>
        <charset val="1"/>
      </rPr>
      <t xml:space="preserve">960</t>
    </r>
    <r>
      <rPr>
        <sz val="9"/>
        <color rgb="FFC00000"/>
        <rFont val="WenQuanYi Zen Hei"/>
        <family val="2"/>
      </rPr>
      <t xml:space="preserve">分）で、この週は補食が</t>
    </r>
    <r>
      <rPr>
        <sz val="9"/>
        <color rgb="FFC00000"/>
        <rFont val="ＭＳ Ｐゴシック"/>
        <family val="0"/>
        <charset val="1"/>
      </rPr>
      <t xml:space="preserve">1</t>
    </r>
    <r>
      <rPr>
        <sz val="9"/>
        <color rgb="FFC00000"/>
        <rFont val="WenQuanYi Zen Hei"/>
        <family val="2"/>
      </rPr>
      <t xml:space="preserve">日のみ。</t>
    </r>
  </si>
  <si>
    <r>
      <rPr>
        <b val="true"/>
        <sz val="11"/>
        <rFont val="ＭＳ Ｐゴシック"/>
        <family val="0"/>
        <charset val="1"/>
      </rPr>
      <t xml:space="preserve">■ Section A</t>
    </r>
    <r>
      <rPr>
        <b val="true"/>
        <sz val="11"/>
        <rFont val="WenQuanYi Zen Hei"/>
        <family val="2"/>
      </rPr>
      <t xml:space="preserve">：既存の関連性ヒント（前回と同じ</t>
    </r>
    <r>
      <rPr>
        <b val="true"/>
        <sz val="11"/>
        <rFont val="ＭＳ Ｐゴシック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項目を今期間データで再計算）</t>
    </r>
  </si>
  <si>
    <t xml:space="preserve">観点</t>
  </si>
  <si>
    <r>
      <rPr>
        <b val="true"/>
        <sz val="10"/>
        <color rgb="FFFFFFFF"/>
        <rFont val="WenQuanYi Zen Hei"/>
        <family val="2"/>
      </rPr>
      <t xml:space="preserve">条件</t>
    </r>
    <r>
      <rPr>
        <b val="true"/>
        <sz val="10"/>
        <color rgb="FFFFFFFF"/>
        <rFont val="ＭＳ Ｐゴシック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（低</t>
    </r>
    <r>
      <rPr>
        <b val="true"/>
        <sz val="10"/>
        <color rgb="FFFFFFFF"/>
        <rFont val="ＭＳ Ｐゴシック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良）</t>
    </r>
  </si>
  <si>
    <t xml:space="preserve">n</t>
  </si>
  <si>
    <r>
      <rPr>
        <b val="true"/>
        <sz val="10"/>
        <color rgb="FFFFFFFF"/>
        <rFont val="WenQuanYi Zen Hei"/>
        <family val="2"/>
      </rPr>
      <t xml:space="preserve">条件</t>
    </r>
    <r>
      <rPr>
        <b val="true"/>
        <sz val="10"/>
        <color rgb="FFFFFFFF"/>
        <rFont val="ＭＳ Ｐゴシック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（高</t>
    </r>
    <r>
      <rPr>
        <b val="true"/>
        <sz val="10"/>
        <color rgb="FFFFFFFF"/>
        <rFont val="ＭＳ Ｐゴシック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悪）</t>
    </r>
  </si>
  <si>
    <r>
      <rPr>
        <b val="true"/>
        <sz val="10"/>
        <color rgb="FFFFFFFF"/>
        <rFont val="WenQuanYi Zen Hei"/>
        <family val="2"/>
      </rPr>
      <t xml:space="preserve">差</t>
    </r>
    <r>
      <rPr>
        <b val="true"/>
        <sz val="10"/>
        <color rgb="FFFFFFFF"/>
        <rFont val="ＭＳ Ｐゴシック"/>
        <family val="0"/>
        <charset val="1"/>
      </rPr>
      <t xml:space="preserve">(B-A)</t>
    </r>
  </si>
  <si>
    <t xml:space="preserve">注目度</t>
  </si>
  <si>
    <t xml:space="preserve">前期間の差</t>
  </si>
  <si>
    <t xml:space="preserve">前回との比較</t>
  </si>
  <si>
    <r>
      <rPr>
        <sz val="10"/>
        <rFont val="WenQuanYi Zen Hei"/>
        <family val="2"/>
      </rPr>
      <t xml:space="preserve">補食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はい</t>
    </r>
    <r>
      <rPr>
        <sz val="10"/>
        <rFont val="ＭＳ Ｐゴシック"/>
        <family val="0"/>
        <charset val="1"/>
      </rPr>
      <t xml:space="preserve">/</t>
    </r>
    <r>
      <rPr>
        <sz val="10"/>
        <rFont val="WenQuanYi Zen Hei"/>
        <family val="2"/>
      </rPr>
      <t xml:space="preserve">いいえ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運動後疲労</t>
    </r>
  </si>
  <si>
    <r>
      <rPr>
        <sz val="10"/>
        <rFont val="WenQuanYi Zen Hei"/>
        <family val="2"/>
      </rPr>
      <t xml:space="preserve">はい</t>
    </r>
    <r>
      <rPr>
        <sz val="10"/>
        <rFont val="ＭＳ Ｐゴシック"/>
        <family val="0"/>
        <charset val="1"/>
      </rPr>
      <t xml:space="preserve">: 3.43</t>
    </r>
  </si>
  <si>
    <r>
      <rPr>
        <sz val="10"/>
        <rFont val="WenQuanYi Zen Hei"/>
        <family val="2"/>
      </rPr>
      <t xml:space="preserve">いいえ</t>
    </r>
    <r>
      <rPr>
        <sz val="10"/>
        <rFont val="ＭＳ Ｐゴシック"/>
        <family val="0"/>
        <charset val="1"/>
      </rPr>
      <t xml:space="preserve">: 3.40</t>
    </r>
  </si>
  <si>
    <t xml:space="preserve">−</t>
  </si>
  <si>
    <t xml:space="preserve">変わらず関連なし</t>
  </si>
  <si>
    <r>
      <rPr>
        <sz val="10"/>
        <rFont val="WenQuanYi Zen Hei"/>
        <family val="2"/>
      </rPr>
      <t xml:space="preserve">睡眠時間</t>
    </r>
    <r>
      <rPr>
        <sz val="10"/>
        <rFont val="ＭＳ Ｐゴシック"/>
        <family val="0"/>
        <charset val="1"/>
      </rPr>
      <t xml:space="preserve">(≥7h / &lt;7h) → </t>
    </r>
    <r>
      <rPr>
        <sz val="10"/>
        <rFont val="WenQuanYi Zen Hei"/>
        <family val="2"/>
      </rPr>
      <t xml:space="preserve">同日 </t>
    </r>
    <r>
      <rPr>
        <sz val="10"/>
        <rFont val="ＭＳ Ｐゴシック"/>
        <family val="0"/>
        <charset val="1"/>
      </rPr>
      <t xml:space="preserve">RPE</t>
    </r>
  </si>
  <si>
    <t xml:space="preserve">≥7h: 6.56</t>
  </si>
  <si>
    <t xml:space="preserve">&lt;7h: 6.45</t>
  </si>
  <si>
    <t xml:space="preserve">今期は差が縮小</t>
  </si>
  <si>
    <r>
      <rPr>
        <sz val="10"/>
        <rFont val="WenQuanYi Zen Hei"/>
        <family val="2"/>
      </rPr>
      <t xml:space="preserve">睡眠の質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良≤</t>
    </r>
    <r>
      <rPr>
        <sz val="10"/>
        <rFont val="ＭＳ Ｐゴシック"/>
        <family val="0"/>
        <charset val="1"/>
      </rPr>
      <t xml:space="preserve">2 / </t>
    </r>
    <r>
      <rPr>
        <sz val="10"/>
        <rFont val="WenQuanYi Zen Hei"/>
        <family val="2"/>
      </rPr>
      <t xml:space="preserve">悪≥</t>
    </r>
    <r>
      <rPr>
        <sz val="10"/>
        <rFont val="ＭＳ Ｐゴシック"/>
        <family val="0"/>
        <charset val="1"/>
      </rPr>
      <t xml:space="preserve">3) → </t>
    </r>
    <r>
      <rPr>
        <sz val="10"/>
        <rFont val="WenQuanYi Zen Hei"/>
        <family val="2"/>
      </rPr>
      <t xml:space="preserve">同日 運動後疲労</t>
    </r>
  </si>
  <si>
    <r>
      <rPr>
        <sz val="10"/>
        <rFont val="ＭＳ Ｐゴシック"/>
        <family val="0"/>
        <charset val="1"/>
      </rPr>
      <t xml:space="preserve">≤2(</t>
    </r>
    <r>
      <rPr>
        <sz val="10"/>
        <rFont val="WenQuanYi Zen Hei"/>
        <family val="2"/>
      </rPr>
      <t xml:space="preserve">良</t>
    </r>
    <r>
      <rPr>
        <sz val="10"/>
        <rFont val="ＭＳ Ｐゴシック"/>
        <family val="0"/>
        <charset val="1"/>
      </rPr>
      <t xml:space="preserve">): 3.31</t>
    </r>
  </si>
  <si>
    <r>
      <rPr>
        <sz val="10"/>
        <rFont val="ＭＳ Ｐゴシック"/>
        <family val="0"/>
        <charset val="1"/>
      </rPr>
      <t xml:space="preserve">≥3(</t>
    </r>
    <r>
      <rPr>
        <sz val="10"/>
        <rFont val="WenQuanYi Zen Hei"/>
        <family val="2"/>
      </rPr>
      <t xml:space="preserve">悪</t>
    </r>
    <r>
      <rPr>
        <sz val="10"/>
        <rFont val="ＭＳ Ｐゴシック"/>
        <family val="0"/>
        <charset val="1"/>
      </rPr>
      <t xml:space="preserve">): 3.50</t>
    </r>
  </si>
  <si>
    <r>
      <rPr>
        <sz val="10"/>
        <rFont val="WenQuanYi Zen Hei"/>
        <family val="2"/>
      </rPr>
      <t xml:space="preserve">水分摂取量</t>
    </r>
    <r>
      <rPr>
        <sz val="10"/>
        <rFont val="ＭＳ Ｐゴシック"/>
        <family val="0"/>
        <charset val="1"/>
      </rPr>
      <t xml:space="preserve">(≥1000ml / &lt;1000ml) → </t>
    </r>
    <r>
      <rPr>
        <sz val="10"/>
        <rFont val="WenQuanYi Zen Hei"/>
        <family val="2"/>
      </rPr>
      <t xml:space="preserve">同日 運動後疲労</t>
    </r>
  </si>
  <si>
    <t xml:space="preserve">≥1000ml: 3.44</t>
  </si>
  <si>
    <t xml:space="preserve">&lt;1000ml: 2.75</t>
  </si>
  <si>
    <r>
      <rPr>
        <sz val="10"/>
        <rFont val="WenQuanYi Zen Hei"/>
        <family val="2"/>
      </rPr>
      <t xml:space="preserve">★要注目（</t>
    </r>
    <r>
      <rPr>
        <sz val="10"/>
        <rFont val="ＭＳ Ｐゴシック"/>
        <family val="0"/>
        <charset val="1"/>
      </rPr>
      <t xml:space="preserve">n</t>
    </r>
    <r>
      <rPr>
        <sz val="10"/>
        <rFont val="WenQuanYi Zen Hei"/>
        <family val="2"/>
      </rPr>
      <t xml:space="preserve">少）</t>
    </r>
  </si>
  <si>
    <t xml:space="preserve">同じ傾向（再現）</t>
  </si>
  <si>
    <r>
      <rPr>
        <sz val="10"/>
        <rFont val="WenQuanYi Zen Hei"/>
        <family val="2"/>
      </rPr>
      <t xml:space="preserve">タンパク質合計種類数</t>
    </r>
    <r>
      <rPr>
        <sz val="10"/>
        <rFont val="ＭＳ Ｐゴシック"/>
        <family val="0"/>
        <charset val="1"/>
      </rPr>
      <t xml:space="preserve">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 </t>
    </r>
    <r>
      <rPr>
        <sz val="10"/>
        <rFont val="ＭＳ Ｐゴシック"/>
        <family val="0"/>
        <charset val="1"/>
      </rPr>
      <t xml:space="preserve">/ 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</si>
  <si>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: 6.33</t>
    </r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</si>
  <si>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: 6.66</t>
    </r>
  </si>
  <si>
    <t xml:space="preserve">参考</t>
  </si>
  <si>
    <t xml:space="preserve">逆の傾向</t>
  </si>
  <si>
    <r>
      <rPr>
        <b val="true"/>
        <sz val="11"/>
        <rFont val="ＭＳ Ｐゴシック"/>
        <family val="0"/>
        <charset val="1"/>
      </rPr>
      <t xml:space="preserve">■ Section B</t>
    </r>
    <r>
      <rPr>
        <b val="true"/>
        <sz val="11"/>
        <rFont val="WenQuanYi Zen Hei"/>
        <family val="2"/>
      </rPr>
      <t xml:space="preserve">：前回「新たに判明した関連性」</t>
    </r>
    <r>
      <rPr>
        <b val="true"/>
        <sz val="11"/>
        <rFont val="ＭＳ Ｐゴシック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項目の再確認</t>
    </r>
  </si>
  <si>
    <r>
      <rPr>
        <sz val="10"/>
        <rFont val="WenQuanYi Zen Hei"/>
        <family val="2"/>
      </rPr>
      <t xml:space="preserve">睡眠の質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良好≤</t>
    </r>
    <r>
      <rPr>
        <sz val="10"/>
        <rFont val="ＭＳ Ｐゴシック"/>
        <family val="0"/>
        <charset val="1"/>
      </rPr>
      <t xml:space="preserve">2 / </t>
    </r>
    <r>
      <rPr>
        <sz val="10"/>
        <rFont val="WenQuanYi Zen Hei"/>
        <family val="2"/>
      </rPr>
      <t xml:space="preserve">不良≥</t>
    </r>
    <r>
      <rPr>
        <sz val="10"/>
        <rFont val="ＭＳ Ｐゴシック"/>
        <family val="0"/>
        <charset val="1"/>
      </rPr>
      <t xml:space="preserve">3)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</si>
  <si>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良好≤</t>
    </r>
    <r>
      <rPr>
        <sz val="10"/>
        <rFont val="ＭＳ Ｐゴシック"/>
        <family val="0"/>
        <charset val="1"/>
      </rPr>
      <t xml:space="preserve">2: 6.75</t>
    </r>
  </si>
  <si>
    <r>
      <rPr>
        <sz val="10"/>
        <rFont val="WenQuanYi Zen Hei"/>
        <family val="2"/>
      </rPr>
      <t xml:space="preserve">不良≥</t>
    </r>
    <r>
      <rPr>
        <sz val="10"/>
        <rFont val="ＭＳ Ｐゴシック"/>
        <family val="0"/>
        <charset val="1"/>
      </rPr>
      <t xml:space="preserve">3: 6.33</t>
    </r>
  </si>
  <si>
    <r>
      <rPr>
        <sz val="10"/>
        <rFont val="WenQuanYi Zen Hei"/>
        <family val="2"/>
      </rPr>
      <t xml:space="preserve">栄養バランス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良好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 / </t>
    </r>
    <r>
      <rPr>
        <sz val="10"/>
        <rFont val="WenQuanYi Zen Hei"/>
        <family val="2"/>
      </rPr>
      <t xml:space="preserve">不良</t>
    </r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4)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</si>
  <si>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良好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2: 6.67</t>
    </r>
  </si>
  <si>
    <r>
      <rPr>
        <sz val="10"/>
        <rFont val="WenQuanYi Zen Hei"/>
        <family val="2"/>
      </rPr>
      <t xml:space="preserve">不良</t>
    </r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4: 6.57</t>
    </r>
  </si>
  <si>
    <r>
      <rPr>
        <sz val="10"/>
        <rFont val="WenQuanYi Zen Hei"/>
        <family val="2"/>
      </rPr>
      <t xml:space="preserve">起床時コンディション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良好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 / </t>
    </r>
    <r>
      <rPr>
        <sz val="10"/>
        <rFont val="WenQuanYi Zen Hei"/>
        <family val="2"/>
      </rPr>
      <t xml:space="preserve">不調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5) → </t>
    </r>
    <r>
      <rPr>
        <sz val="10"/>
        <rFont val="WenQuanYi Zen Hei"/>
        <family val="2"/>
      </rPr>
      <t xml:space="preserve">同日 運動後疲労</t>
    </r>
  </si>
  <si>
    <r>
      <rPr>
        <sz val="10"/>
        <rFont val="WenQuanYi Zen Hei"/>
        <family val="2"/>
      </rPr>
      <t xml:space="preserve">良好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2: 3.44</t>
    </r>
  </si>
  <si>
    <r>
      <rPr>
        <sz val="10"/>
        <rFont val="WenQuanYi Zen Hei"/>
        <family val="2"/>
      </rPr>
      <t xml:space="preserve">不調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5: 3.00</t>
    </r>
  </si>
  <si>
    <r>
      <rPr>
        <sz val="10"/>
        <rFont val="WenQuanYi Zen Hei"/>
        <family val="2"/>
      </rPr>
      <t xml:space="preserve">参考（</t>
    </r>
    <r>
      <rPr>
        <sz val="10"/>
        <rFont val="ＭＳ Ｐゴシック"/>
        <family val="0"/>
        <charset val="1"/>
      </rPr>
      <t xml:space="preserve">n</t>
    </r>
    <r>
      <rPr>
        <sz val="10"/>
        <rFont val="WenQuanYi Zen Hei"/>
        <family val="2"/>
      </rPr>
      <t xml:space="preserve">少）</t>
    </r>
  </si>
  <si>
    <r>
      <rPr>
        <sz val="10"/>
        <rFont val="WenQuanYi Zen Hei"/>
        <family val="2"/>
      </rPr>
      <t xml:space="preserve">起床時コンディション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良好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 / </t>
    </r>
    <r>
      <rPr>
        <sz val="10"/>
        <rFont val="WenQuanYi Zen Hei"/>
        <family val="2"/>
      </rPr>
      <t xml:space="preserve">不調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5) → </t>
    </r>
    <r>
      <rPr>
        <sz val="10"/>
        <rFont val="WenQuanYi Zen Hei"/>
        <family val="2"/>
      </rPr>
      <t xml:space="preserve">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</si>
  <si>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良好</t>
    </r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2: 6.64</t>
    </r>
  </si>
  <si>
    <r>
      <rPr>
        <sz val="10"/>
        <rFont val="WenQuanYi Zen Hei"/>
        <family val="2"/>
      </rPr>
      <t xml:space="preserve">不調</t>
    </r>
    <r>
      <rPr>
        <sz val="10"/>
        <rFont val="ＭＳ Ｐ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5: 5.00</t>
    </r>
  </si>
  <si>
    <r>
      <rPr>
        <b val="true"/>
        <sz val="11"/>
        <rFont val="ＭＳ Ｐゴシック"/>
        <family val="0"/>
        <charset val="1"/>
      </rPr>
      <t xml:space="preserve">■ Section C</t>
    </r>
    <r>
      <rPr>
        <b val="true"/>
        <sz val="11"/>
        <rFont val="WenQuanYi Zen Hei"/>
        <family val="2"/>
      </rPr>
      <t xml:space="preserve">：昼食・夕食タンパク質の詳細分析</t>
    </r>
  </si>
  <si>
    <r>
      <rPr>
        <b val="true"/>
        <sz val="10"/>
        <rFont val="WenQuanYi Zen Hei"/>
        <family val="2"/>
      </rPr>
      <t xml:space="preserve">平均タンパク質種類数　昼食</t>
    </r>
    <r>
      <rPr>
        <b val="true"/>
        <sz val="10"/>
        <rFont val="ＭＳ Ｐゴシック"/>
        <family val="0"/>
        <charset val="1"/>
      </rPr>
      <t xml:space="preserve">: 0.91</t>
    </r>
    <r>
      <rPr>
        <b val="true"/>
        <sz val="10"/>
        <rFont val="WenQuanYi Zen Hei"/>
        <family val="2"/>
      </rPr>
      <t xml:space="preserve">種（前回</t>
    </r>
    <r>
      <rPr>
        <b val="true"/>
        <sz val="10"/>
        <rFont val="ＭＳ Ｐゴシック"/>
        <family val="0"/>
        <charset val="1"/>
      </rPr>
      <t xml:space="preserve">0.68</t>
    </r>
    <r>
      <rPr>
        <b val="true"/>
        <sz val="10"/>
        <rFont val="WenQuanYi Zen Hei"/>
        <family val="2"/>
      </rPr>
      <t xml:space="preserve">） </t>
    </r>
    <r>
      <rPr>
        <b val="true"/>
        <sz val="10"/>
        <rFont val="ＭＳ Ｐゴシック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夕食</t>
    </r>
    <r>
      <rPr>
        <b val="true"/>
        <sz val="10"/>
        <rFont val="ＭＳ Ｐゴシック"/>
        <family val="0"/>
        <charset val="1"/>
      </rPr>
      <t xml:space="preserve">: 2.28</t>
    </r>
    <r>
      <rPr>
        <b val="true"/>
        <sz val="10"/>
        <rFont val="WenQuanYi Zen Hei"/>
        <family val="2"/>
      </rPr>
      <t xml:space="preserve">種（前回</t>
    </r>
    <r>
      <rPr>
        <b val="true"/>
        <sz val="10"/>
        <rFont val="ＭＳ Ｐゴシック"/>
        <family val="0"/>
        <charset val="1"/>
      </rPr>
      <t xml:space="preserve">1.60</t>
    </r>
    <r>
      <rPr>
        <b val="true"/>
        <sz val="10"/>
        <rFont val="WenQuanYi Zen Hei"/>
        <family val="2"/>
      </rPr>
      <t xml:space="preserve">）</t>
    </r>
  </si>
  <si>
    <t xml:space="preserve">  昼食タンパク質との関連</t>
  </si>
  <si>
    <r>
      <rPr>
        <sz val="10"/>
        <rFont val="WenQuanYi Zen Hei"/>
        <family val="2"/>
      </rPr>
      <t xml:space="preserve">昼食タンパク質種類数</t>
    </r>
    <r>
      <rPr>
        <sz val="10"/>
        <rFont val="ＭＳ Ｐゴシック"/>
        <family val="0"/>
        <charset val="1"/>
      </rPr>
      <t xml:space="preserve">(0</t>
    </r>
    <r>
      <rPr>
        <sz val="10"/>
        <rFont val="WenQuanYi Zen Hei"/>
        <family val="2"/>
      </rPr>
      <t xml:space="preserve">種 </t>
    </r>
    <r>
      <rPr>
        <sz val="10"/>
        <rFont val="ＭＳ Ｐゴシック"/>
        <family val="0"/>
        <charset val="1"/>
      </rPr>
      <t xml:space="preserve">/ 1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</si>
  <si>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ＭＳ Ｐ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: 6.69</t>
    </r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</si>
  <si>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: 6.57</t>
    </r>
  </si>
  <si>
    <r>
      <rPr>
        <sz val="10"/>
        <rFont val="WenQuanYi Zen Hei"/>
        <family val="2"/>
      </rPr>
      <t xml:space="preserve">昼食タンパク質種類数</t>
    </r>
    <r>
      <rPr>
        <sz val="10"/>
        <rFont val="ＭＳ Ｐゴシック"/>
        <family val="0"/>
        <charset val="1"/>
      </rPr>
      <t xml:space="preserve">(0</t>
    </r>
    <r>
      <rPr>
        <sz val="10"/>
        <rFont val="WenQuanYi Zen Hei"/>
        <family val="2"/>
      </rPr>
      <t xml:space="preserve">種 </t>
    </r>
    <r>
      <rPr>
        <sz val="10"/>
        <rFont val="ＭＳ Ｐゴシック"/>
        <family val="0"/>
        <charset val="1"/>
      </rPr>
      <t xml:space="preserve">/ 1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運動後疲労</t>
    </r>
  </si>
  <si>
    <r>
      <rPr>
        <sz val="10"/>
        <rFont val="ＭＳ Ｐ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: 3.31</t>
    </r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</si>
  <si>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: 3.46</t>
    </r>
  </si>
  <si>
    <t xml:space="preserve">  夕食タンパク質との関連</t>
  </si>
  <si>
    <r>
      <rPr>
        <sz val="10"/>
        <rFont val="WenQuanYi Zen Hei"/>
        <family val="2"/>
      </rPr>
      <t xml:space="preserve">夕食タンパク質種類数</t>
    </r>
    <r>
      <rPr>
        <sz val="10"/>
        <rFont val="ＭＳ Ｐゴシック"/>
        <family val="0"/>
        <charset val="1"/>
      </rPr>
      <t xml:space="preserve">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 </t>
    </r>
    <r>
      <rPr>
        <sz val="10"/>
        <rFont val="ＭＳ Ｐゴシック"/>
        <family val="0"/>
        <charset val="1"/>
      </rPr>
      <t xml:space="preserve">/ 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</si>
  <si>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: 6.39</t>
    </r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</si>
  <si>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: 6.86</t>
    </r>
  </si>
  <si>
    <r>
      <rPr>
        <sz val="10"/>
        <rFont val="WenQuanYi Zen Hei"/>
        <family val="2"/>
      </rPr>
      <t xml:space="preserve">夕食タンパク質種類数</t>
    </r>
    <r>
      <rPr>
        <sz val="10"/>
        <rFont val="ＭＳ Ｐゴシック"/>
        <family val="0"/>
        <charset val="1"/>
      </rPr>
      <t xml:space="preserve">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 </t>
    </r>
    <r>
      <rPr>
        <sz val="10"/>
        <rFont val="ＭＳ Ｐゴシック"/>
        <family val="0"/>
        <charset val="1"/>
      </rPr>
      <t xml:space="preserve">/ 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運動後疲労</t>
    </r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</si>
  <si>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: 3.50</t>
    </r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</si>
  <si>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: 3.32</t>
    </r>
  </si>
  <si>
    <r>
      <rPr>
        <sz val="10"/>
        <rFont val="WenQuanYi Zen Hei"/>
        <family val="2"/>
      </rPr>
      <t xml:space="preserve">夕食タンパク質種類数</t>
    </r>
    <r>
      <rPr>
        <sz val="10"/>
        <rFont val="ＭＳ Ｐゴシック"/>
        <family val="0"/>
        <charset val="1"/>
      </rPr>
      <t xml:space="preserve">(1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 </t>
    </r>
    <r>
      <rPr>
        <sz val="10"/>
        <rFont val="ＭＳ Ｐゴシック"/>
        <family val="0"/>
        <charset val="1"/>
      </rPr>
      <t xml:space="preserve">/ 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起床時コンディション</t>
    </r>
  </si>
  <si>
    <r>
      <rPr>
        <sz val="10"/>
        <rFont val="ＭＳ Ｐ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ＭＳ Ｐ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種</t>
    </r>
    <r>
      <rPr>
        <sz val="10"/>
        <rFont val="ＭＳ Ｐゴシック"/>
        <family val="0"/>
        <charset val="1"/>
      </rPr>
      <t xml:space="preserve">: 2.40</t>
    </r>
  </si>
  <si>
    <r>
      <rPr>
        <sz val="10"/>
        <rFont val="ＭＳ Ｐ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種以上</t>
    </r>
    <r>
      <rPr>
        <sz val="10"/>
        <rFont val="ＭＳ Ｐゴシック"/>
        <family val="0"/>
        <charset val="1"/>
      </rPr>
      <t xml:space="preserve">: 2.30</t>
    </r>
  </si>
  <si>
    <r>
      <rPr>
        <b val="true"/>
        <sz val="10"/>
        <rFont val="WenQuanYi Zen Hei"/>
        <family val="2"/>
      </rPr>
      <t xml:space="preserve">  食材別（夕食）との関連 → 翌日 </t>
    </r>
    <r>
      <rPr>
        <b val="true"/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</si>
  <si>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夕食に魚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</si>
  <si>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6.57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</si>
  <si>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6.64</t>
    </r>
  </si>
  <si>
    <r>
      <rPr>
        <sz val="10"/>
        <rFont val="WenQuanYi Zen Hei"/>
        <family val="2"/>
      </rPr>
      <t xml:space="preserve">夕食に肉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</si>
  <si>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6.75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</si>
  <si>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6.59</t>
    </r>
  </si>
  <si>
    <r>
      <rPr>
        <sz val="10"/>
        <rFont val="WenQuanYi Zen Hei"/>
        <family val="2"/>
      </rPr>
      <t xml:space="preserve">夕食に豆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</si>
  <si>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6.47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</si>
  <si>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6.80</t>
    </r>
  </si>
  <si>
    <t xml:space="preserve">今期新たに差</t>
  </si>
  <si>
    <r>
      <rPr>
        <sz val="10"/>
        <rFont val="WenQuanYi Zen Hei"/>
        <family val="2"/>
      </rPr>
      <t xml:space="preserve">夕食に卵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</t>
    </r>
    <r>
      <rPr>
        <sz val="10"/>
        <rFont val="ＭＳ Ｐゴシック"/>
        <family val="0"/>
        <charset val="1"/>
      </rPr>
      <t xml:space="preserve">RPE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</si>
  <si>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6.48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</si>
  <si>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6.69</t>
    </r>
  </si>
  <si>
    <r>
      <rPr>
        <b val="true"/>
        <sz val="11"/>
        <rFont val="ＭＳ Ｐゴシック"/>
        <family val="0"/>
        <charset val="1"/>
      </rPr>
      <t xml:space="preserve">■ Section D</t>
    </r>
    <r>
      <rPr>
        <b val="true"/>
        <sz val="11"/>
        <rFont val="WenQuanYi Zen Hei"/>
        <family val="2"/>
      </rPr>
      <t xml:space="preserve">：今期間の追加分析（暑さ・睡眠不足・長時間練習）</t>
    </r>
  </si>
  <si>
    <r>
      <rPr>
        <sz val="10"/>
        <rFont val="WenQuanYi Zen Hei"/>
        <family val="2"/>
      </rPr>
      <t xml:space="preserve">暑さ・湿度のメモ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同日 運動後疲労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</si>
  <si>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3.22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</si>
  <si>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4.43</t>
    </r>
  </si>
  <si>
    <r>
      <rPr>
        <sz val="10"/>
        <rFont val="WenQuanYi Zen Hei"/>
        <family val="2"/>
      </rPr>
      <t xml:space="preserve">★要注目 </t>
    </r>
    <r>
      <rPr>
        <sz val="10"/>
        <rFont val="ＭＳ Ｐゴシック"/>
        <family val="0"/>
        <charset val="1"/>
      </rPr>
      <t xml:space="preserve">p=0.000</t>
    </r>
  </si>
  <si>
    <t xml:space="preserve">（今期新規）</t>
  </si>
  <si>
    <r>
      <rPr>
        <sz val="10"/>
        <rFont val="WenQuanYi Zen Hei"/>
        <family val="2"/>
      </rPr>
      <t xml:space="preserve">暑さ・湿度のメモ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同日 瞬発力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</si>
  <si>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3.51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</si>
  <si>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2.57</t>
    </r>
  </si>
  <si>
    <t xml:space="preserve">★要注目</t>
  </si>
  <si>
    <r>
      <rPr>
        <sz val="10"/>
        <rFont val="WenQuanYi Zen Hei"/>
        <family val="2"/>
      </rPr>
      <t xml:space="preserve">暑さ・湿度のメモ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なし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同日 持久力</t>
    </r>
  </si>
  <si>
    <r>
      <rPr>
        <sz val="10"/>
        <rFont val="WenQuanYi Zen Hei"/>
        <family val="2"/>
      </rPr>
      <t xml:space="preserve">なし</t>
    </r>
    <r>
      <rPr>
        <sz val="10"/>
        <rFont val="ＭＳ Ｐゴシック"/>
        <family val="0"/>
        <charset val="1"/>
      </rPr>
      <t xml:space="preserve">: 3.38</t>
    </r>
  </si>
  <si>
    <r>
      <rPr>
        <sz val="10"/>
        <rFont val="WenQuanYi Zen Hei"/>
        <family val="2"/>
      </rPr>
      <t xml:space="preserve">あり</t>
    </r>
    <r>
      <rPr>
        <sz val="10"/>
        <rFont val="ＭＳ Ｐゴシック"/>
        <family val="0"/>
        <charset val="1"/>
      </rPr>
      <t xml:space="preserve">: 2.29</t>
    </r>
  </si>
  <si>
    <r>
      <rPr>
        <sz val="10"/>
        <rFont val="WenQuanYi Zen Hei"/>
        <family val="2"/>
      </rPr>
      <t xml:space="preserve">★要注目 </t>
    </r>
    <r>
      <rPr>
        <sz val="10"/>
        <rFont val="ＭＳ Ｐゴシック"/>
        <family val="0"/>
        <charset val="1"/>
      </rPr>
      <t xml:space="preserve">p=0.041</t>
    </r>
  </si>
  <si>
    <r>
      <rPr>
        <sz val="10"/>
        <rFont val="WenQuanYi Zen Hei"/>
        <family val="2"/>
      </rPr>
      <t xml:space="preserve">睡眠時間</t>
    </r>
    <r>
      <rPr>
        <sz val="10"/>
        <rFont val="ＭＳ Ｐゴシック"/>
        <family val="0"/>
        <charset val="1"/>
      </rPr>
      <t xml:space="preserve">(≥6h / &lt;6h) → </t>
    </r>
    <r>
      <rPr>
        <sz val="10"/>
        <rFont val="WenQuanYi Zen Hei"/>
        <family val="2"/>
      </rPr>
      <t xml:space="preserve">同日 起床時コンディション</t>
    </r>
  </si>
  <si>
    <t xml:space="preserve">≥6h: 2.28</t>
  </si>
  <si>
    <t xml:space="preserve">&lt;6h: 3.17</t>
  </si>
  <si>
    <r>
      <rPr>
        <sz val="10"/>
        <rFont val="WenQuanYi Zen Hei"/>
        <family val="2"/>
      </rPr>
      <t xml:space="preserve">★要注目 </t>
    </r>
    <r>
      <rPr>
        <sz val="10"/>
        <rFont val="ＭＳ Ｐゴシック"/>
        <family val="0"/>
        <charset val="1"/>
      </rPr>
      <t xml:space="preserve">p=0.033</t>
    </r>
  </si>
  <si>
    <r>
      <rPr>
        <sz val="10"/>
        <rFont val="WenQuanYi Zen Hei"/>
        <family val="2"/>
      </rPr>
      <t xml:space="preserve">練習</t>
    </r>
    <r>
      <rPr>
        <sz val="10"/>
        <rFont val="ＭＳ Ｐゴシック"/>
        <family val="0"/>
        <charset val="1"/>
      </rPr>
      <t xml:space="preserve">120</t>
    </r>
    <r>
      <rPr>
        <sz val="10"/>
        <rFont val="WenQuanYi Zen Hei"/>
        <family val="2"/>
      </rPr>
      <t xml:space="preserve">分以上の日の補食</t>
    </r>
    <r>
      <rPr>
        <sz val="10"/>
        <rFont val="ＭＳ Ｐ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はい </t>
    </r>
    <r>
      <rPr>
        <sz val="10"/>
        <rFont val="ＭＳ Ｐゴシック"/>
        <family val="0"/>
        <charset val="1"/>
      </rPr>
      <t xml:space="preserve">/ </t>
    </r>
    <r>
      <rPr>
        <sz val="10"/>
        <rFont val="WenQuanYi Zen Hei"/>
        <family val="2"/>
      </rPr>
      <t xml:space="preserve">いいえ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起床時コンディション</t>
    </r>
  </si>
  <si>
    <r>
      <rPr>
        <sz val="10"/>
        <rFont val="WenQuanYi Zen Hei"/>
        <family val="2"/>
      </rPr>
      <t xml:space="preserve">はい</t>
    </r>
    <r>
      <rPr>
        <sz val="10"/>
        <rFont val="ＭＳ Ｐゴシック"/>
        <family val="0"/>
        <charset val="1"/>
      </rPr>
      <t xml:space="preserve">: 2.24</t>
    </r>
  </si>
  <si>
    <r>
      <rPr>
        <sz val="10"/>
        <rFont val="WenQuanYi Zen Hei"/>
        <family val="2"/>
      </rPr>
      <t xml:space="preserve">いいえ</t>
    </r>
    <r>
      <rPr>
        <sz val="10"/>
        <rFont val="ＭＳ Ｐゴシック"/>
        <family val="0"/>
        <charset val="1"/>
      </rPr>
      <t xml:space="preserve">: 2.56</t>
    </r>
  </si>
  <si>
    <r>
      <rPr>
        <sz val="10"/>
        <rFont val="WenQuanYi Zen Hei"/>
        <family val="2"/>
      </rPr>
      <t xml:space="preserve">練習時間</t>
    </r>
    <r>
      <rPr>
        <sz val="10"/>
        <rFont val="ＭＳ Ｐゴシック"/>
        <family val="0"/>
        <charset val="1"/>
      </rPr>
      <t xml:space="preserve">(&lt;180</t>
    </r>
    <r>
      <rPr>
        <sz val="10"/>
        <rFont val="WenQuanYi Zen Hei"/>
        <family val="2"/>
      </rPr>
      <t xml:space="preserve">分 </t>
    </r>
    <r>
      <rPr>
        <sz val="10"/>
        <rFont val="ＭＳ Ｐゴシック"/>
        <family val="0"/>
        <charset val="1"/>
      </rPr>
      <t xml:space="preserve">/ ≥180</t>
    </r>
    <r>
      <rPr>
        <sz val="10"/>
        <rFont val="WenQuanYi Zen Hei"/>
        <family val="2"/>
      </rPr>
      <t xml:space="preserve">分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翌日 運動後疲労</t>
    </r>
  </si>
  <si>
    <r>
      <rPr>
        <sz val="10"/>
        <rFont val="ＭＳ Ｐゴシック"/>
        <family val="0"/>
        <charset val="1"/>
      </rPr>
      <t xml:space="preserve">&lt;180</t>
    </r>
    <r>
      <rPr>
        <sz val="10"/>
        <rFont val="WenQuanYi Zen Hei"/>
        <family val="2"/>
      </rPr>
      <t xml:space="preserve">分</t>
    </r>
    <r>
      <rPr>
        <sz val="10"/>
        <rFont val="ＭＳ Ｐゴシック"/>
        <family val="0"/>
        <charset val="1"/>
      </rPr>
      <t xml:space="preserve">: 3.43</t>
    </r>
  </si>
  <si>
    <r>
      <rPr>
        <sz val="10"/>
        <rFont val="ＭＳ Ｐゴシック"/>
        <family val="0"/>
        <charset val="1"/>
      </rPr>
      <t xml:space="preserve">≥180</t>
    </r>
    <r>
      <rPr>
        <sz val="10"/>
        <rFont val="WenQuanYi Zen Hei"/>
        <family val="2"/>
      </rPr>
      <t xml:space="preserve">分</t>
    </r>
    <r>
      <rPr>
        <sz val="10"/>
        <rFont val="ＭＳ Ｐゴシック"/>
        <family val="0"/>
        <charset val="1"/>
      </rPr>
      <t xml:space="preserve">: 3.38</t>
    </r>
  </si>
  <si>
    <r>
      <rPr>
        <sz val="10"/>
        <rFont val="WenQuanYi Zen Hei"/>
        <family val="2"/>
      </rPr>
      <t xml:space="preserve">練習時間</t>
    </r>
    <r>
      <rPr>
        <sz val="10"/>
        <rFont val="ＭＳ Ｐゴシック"/>
        <family val="0"/>
        <charset val="1"/>
      </rPr>
      <t xml:space="preserve">(&lt;180</t>
    </r>
    <r>
      <rPr>
        <sz val="10"/>
        <rFont val="WenQuanYi Zen Hei"/>
        <family val="2"/>
      </rPr>
      <t xml:space="preserve">分 </t>
    </r>
    <r>
      <rPr>
        <sz val="10"/>
        <rFont val="ＭＳ Ｐゴシック"/>
        <family val="0"/>
        <charset val="1"/>
      </rPr>
      <t xml:space="preserve">/ ≥180</t>
    </r>
    <r>
      <rPr>
        <sz val="10"/>
        <rFont val="WenQuanYi Zen Hei"/>
        <family val="2"/>
      </rPr>
      <t xml:space="preserve">分</t>
    </r>
    <r>
      <rPr>
        <sz val="10"/>
        <rFont val="ＭＳ Ｐゴシック"/>
        <family val="0"/>
        <charset val="1"/>
      </rPr>
      <t xml:space="preserve">) → </t>
    </r>
    <r>
      <rPr>
        <sz val="10"/>
        <rFont val="WenQuanYi Zen Hei"/>
        <family val="2"/>
      </rPr>
      <t xml:space="preserve">その日の補食実施率</t>
    </r>
  </si>
  <si>
    <r>
      <rPr>
        <sz val="10"/>
        <rFont val="ＭＳ Ｐゴシック"/>
        <family val="0"/>
        <charset val="1"/>
      </rPr>
      <t xml:space="preserve">&lt;180</t>
    </r>
    <r>
      <rPr>
        <sz val="10"/>
        <rFont val="WenQuanYi Zen Hei"/>
        <family val="2"/>
      </rPr>
      <t xml:space="preserve">分</t>
    </r>
    <r>
      <rPr>
        <sz val="10"/>
        <rFont val="ＭＳ Ｐゴシック"/>
        <family val="0"/>
        <charset val="1"/>
      </rPr>
      <t xml:space="preserve">: 80%</t>
    </r>
  </si>
  <si>
    <r>
      <rPr>
        <sz val="10"/>
        <rFont val="ＭＳ Ｐゴシック"/>
        <family val="0"/>
        <charset val="1"/>
      </rPr>
      <t xml:space="preserve">≥180</t>
    </r>
    <r>
      <rPr>
        <sz val="10"/>
        <rFont val="WenQuanYi Zen Hei"/>
        <family val="2"/>
      </rPr>
      <t xml:space="preserve">分</t>
    </r>
    <r>
      <rPr>
        <sz val="10"/>
        <rFont val="ＭＳ Ｐゴシック"/>
        <family val="0"/>
        <charset val="1"/>
      </rPr>
      <t xml:space="preserve">: 27%</t>
    </r>
  </si>
  <si>
    <t xml:space="preserve">-53pt</t>
  </si>
  <si>
    <r>
      <rPr>
        <b val="true"/>
        <sz val="10"/>
        <color rgb="FFCC0000"/>
        <rFont val="WenQuanYi Zen Hei"/>
        <family val="2"/>
      </rPr>
      <t xml:space="preserve">※ 差の絶対値 </t>
    </r>
    <r>
      <rPr>
        <b val="true"/>
        <sz val="10"/>
        <color rgb="FFCC0000"/>
        <rFont val="ＭＳ Ｐゴシック"/>
        <family val="0"/>
        <charset val="1"/>
      </rPr>
      <t xml:space="preserve">0.5</t>
    </r>
    <r>
      <rPr>
        <b val="true"/>
        <sz val="10"/>
        <color rgb="FFCC0000"/>
        <rFont val="WenQuanYi Zen Hei"/>
        <family val="2"/>
      </rPr>
      <t xml:space="preserve">以上→要注目（黄色）、</t>
    </r>
    <r>
      <rPr>
        <b val="true"/>
        <sz val="10"/>
        <color rgb="FFCC0000"/>
        <rFont val="ＭＳ Ｐゴシック"/>
        <family val="0"/>
        <charset val="1"/>
      </rPr>
      <t xml:space="preserve">0.3</t>
    </r>
    <r>
      <rPr>
        <b val="true"/>
        <sz val="10"/>
        <color rgb="FFCC0000"/>
        <rFont val="WenQuanYi Zen Hei"/>
        <family val="2"/>
      </rPr>
      <t xml:space="preserve">以上→参考（薄黄色）。どちらかの群の</t>
    </r>
    <r>
      <rPr>
        <b val="true"/>
        <sz val="10"/>
        <color rgb="FFCC0000"/>
        <rFont val="ＭＳ Ｐゴシック"/>
        <family val="0"/>
        <charset val="1"/>
      </rPr>
      <t xml:space="preserve">n</t>
    </r>
    <r>
      <rPr>
        <b val="true"/>
        <sz val="10"/>
        <color rgb="FFCC0000"/>
        <rFont val="WenQuanYi Zen Hei"/>
        <family val="2"/>
      </rPr>
      <t xml:space="preserve">が</t>
    </r>
    <r>
      <rPr>
        <b val="true"/>
        <sz val="10"/>
        <color rgb="FFCC0000"/>
        <rFont val="ＭＳ Ｐゴシック"/>
        <family val="0"/>
        <charset val="1"/>
      </rPr>
      <t xml:space="preserve">5</t>
    </r>
    <r>
      <rPr>
        <b val="true"/>
        <sz val="10"/>
        <color rgb="FFCC0000"/>
        <rFont val="WenQuanYi Zen Hei"/>
        <family val="2"/>
      </rPr>
      <t xml:space="preserve">未満は「（</t>
    </r>
    <r>
      <rPr>
        <b val="true"/>
        <sz val="10"/>
        <color rgb="FFCC0000"/>
        <rFont val="ＭＳ Ｐゴシック"/>
        <family val="0"/>
        <charset val="1"/>
      </rPr>
      <t xml:space="preserve">n</t>
    </r>
    <r>
      <rPr>
        <b val="true"/>
        <sz val="10"/>
        <color rgb="FFCC0000"/>
        <rFont val="WenQuanYi Zen Hei"/>
        <family val="2"/>
      </rPr>
      <t xml:space="preserve">少）」として参考扱い。</t>
    </r>
  </si>
  <si>
    <r>
      <rPr>
        <b val="true"/>
        <sz val="10"/>
        <color rgb="FFCC0000"/>
        <rFont val="ＭＳ Ｐゴシック"/>
        <family val="0"/>
        <charset val="1"/>
      </rPr>
      <t xml:space="preserve">※ p</t>
    </r>
    <r>
      <rPr>
        <b val="true"/>
        <sz val="10"/>
        <color rgb="FFCC0000"/>
        <rFont val="WenQuanYi Zen Hei"/>
        <family val="2"/>
      </rPr>
      <t xml:space="preserve">値は</t>
    </r>
    <r>
      <rPr>
        <b val="true"/>
        <sz val="10"/>
        <color rgb="FFCC0000"/>
        <rFont val="ＭＳ Ｐゴシック"/>
        <family val="0"/>
        <charset val="1"/>
      </rPr>
      <t xml:space="preserve">Welch</t>
    </r>
    <r>
      <rPr>
        <b val="true"/>
        <sz val="10"/>
        <color rgb="FFCC0000"/>
        <rFont val="WenQuanYi Zen Hei"/>
        <family val="2"/>
      </rPr>
      <t xml:space="preserve">の</t>
    </r>
    <r>
      <rPr>
        <b val="true"/>
        <sz val="10"/>
        <color rgb="FFCC0000"/>
        <rFont val="ＭＳ Ｐゴシック"/>
        <family val="0"/>
        <charset val="1"/>
      </rPr>
      <t xml:space="preserve">t</t>
    </r>
    <r>
      <rPr>
        <b val="true"/>
        <sz val="10"/>
        <color rgb="FFCC0000"/>
        <rFont val="WenQuanYi Zen Hei"/>
        <family val="2"/>
      </rPr>
      <t xml:space="preserve">検定（</t>
    </r>
    <r>
      <rPr>
        <b val="true"/>
        <sz val="10"/>
        <color rgb="FFCC0000"/>
        <rFont val="ＭＳ Ｐゴシック"/>
        <family val="0"/>
        <charset val="1"/>
      </rPr>
      <t xml:space="preserve">p&lt;0.05</t>
    </r>
    <r>
      <rPr>
        <b val="true"/>
        <sz val="10"/>
        <color rgb="FFCC0000"/>
        <rFont val="WenQuanYi Zen Hei"/>
        <family val="2"/>
      </rPr>
      <t xml:space="preserve">のみ表示）。日数が少ないため、因果関係ではなく「会話のきっかけ」として活用してください。</t>
    </r>
  </si>
  <si>
    <r>
      <rPr>
        <b val="true"/>
        <sz val="10"/>
        <color rgb="FFCC0000"/>
        <rFont val="WenQuanYi Zen Hei"/>
        <family val="2"/>
      </rPr>
      <t xml:space="preserve">※ 瞬発力・持久力は「高いほど良好」、運動後疲労・</t>
    </r>
    <r>
      <rPr>
        <b val="true"/>
        <sz val="10"/>
        <color rgb="FFCC0000"/>
        <rFont val="ＭＳ Ｐゴシック"/>
        <family val="0"/>
        <charset val="1"/>
      </rPr>
      <t xml:space="preserve">RPE</t>
    </r>
    <r>
      <rPr>
        <b val="true"/>
        <sz val="10"/>
        <color rgb="FFCC0000"/>
        <rFont val="WenQuanYi Zen Hei"/>
        <family val="2"/>
      </rPr>
      <t xml:space="preserve">・起床時</t>
    </r>
    <r>
      <rPr>
        <b val="true"/>
        <sz val="10"/>
        <color rgb="FFCC0000"/>
        <rFont val="ＭＳ Ｐゴシック"/>
        <family val="0"/>
        <charset val="1"/>
      </rPr>
      <t xml:space="preserve">CD</t>
    </r>
    <r>
      <rPr>
        <b val="true"/>
        <sz val="10"/>
        <color rgb="FFCC0000"/>
        <rFont val="WenQuanYi Zen Hei"/>
        <family val="2"/>
      </rPr>
      <t xml:space="preserve">は「高いほどきつい</t>
    </r>
    <r>
      <rPr>
        <b val="true"/>
        <sz val="10"/>
        <color rgb="FFCC0000"/>
        <rFont val="ＭＳ Ｐゴシック"/>
        <family val="0"/>
        <charset val="1"/>
      </rPr>
      <t xml:space="preserve">/</t>
    </r>
    <r>
      <rPr>
        <b val="true"/>
        <sz val="10"/>
        <color rgb="FFCC0000"/>
        <rFont val="WenQuanYi Zen Hei"/>
        <family val="2"/>
      </rPr>
      <t xml:space="preserve">不調」。差の符号の読み方に注意。</t>
    </r>
  </si>
  <si>
    <r>
      <rPr>
        <b val="true"/>
        <sz val="10"/>
        <color rgb="FF2E75B6"/>
        <rFont val="WenQuanYi Zen Hei"/>
        <family val="2"/>
      </rPr>
      <t xml:space="preserve">◎ 今期間のポイント：前回の関連（睡眠時間→</t>
    </r>
    <r>
      <rPr>
        <b val="true"/>
        <sz val="10"/>
        <color rgb="FF2E75B6"/>
        <rFont val="ＭＳ Ｐゴシック"/>
        <family val="0"/>
        <charset val="1"/>
      </rPr>
      <t xml:space="preserve">RPE</t>
    </r>
    <r>
      <rPr>
        <b val="true"/>
        <sz val="10"/>
        <color rgb="FF2E75B6"/>
        <rFont val="WenQuanYi Zen Hei"/>
        <family val="2"/>
      </rPr>
      <t xml:space="preserve">、昼食タンパク→翌日</t>
    </r>
    <r>
      <rPr>
        <b val="true"/>
        <sz val="10"/>
        <color rgb="FF2E75B6"/>
        <rFont val="ＭＳ Ｐゴシック"/>
        <family val="0"/>
        <charset val="1"/>
      </rPr>
      <t xml:space="preserve">RPE </t>
    </r>
    <r>
      <rPr>
        <b val="true"/>
        <sz val="10"/>
        <color rgb="FF2E75B6"/>
        <rFont val="WenQuanYi Zen Hei"/>
        <family val="2"/>
      </rPr>
      <t xml:space="preserve">など）は今期は再現せず。一方で「暑さ・湿度」の影響が最も大きく、</t>
    </r>
  </si>
  <si>
    <r>
      <rPr>
        <b val="true"/>
        <sz val="10"/>
        <color rgb="FF2E75B6"/>
        <rFont val="WenQuanYi Zen Hei"/>
        <family val="2"/>
      </rPr>
      <t xml:space="preserve">　 暑さのメモがある日は疲労</t>
    </r>
    <r>
      <rPr>
        <b val="true"/>
        <sz val="10"/>
        <color rgb="FF2E75B6"/>
        <rFont val="ＭＳ Ｐゴシック"/>
        <family val="0"/>
        <charset val="1"/>
      </rPr>
      <t xml:space="preserve">+1.2</t>
    </r>
    <r>
      <rPr>
        <b val="true"/>
        <sz val="10"/>
        <color rgb="FF2E75B6"/>
        <rFont val="WenQuanYi Zen Hei"/>
        <family val="2"/>
      </rPr>
      <t xml:space="preserve">、瞬発力</t>
    </r>
    <r>
      <rPr>
        <b val="true"/>
        <sz val="10"/>
        <color rgb="FF2E75B6"/>
        <rFont val="ＭＳ Ｐゴシック"/>
        <family val="0"/>
        <charset val="1"/>
      </rPr>
      <t xml:space="preserve">-0.9</t>
    </r>
    <r>
      <rPr>
        <b val="true"/>
        <sz val="10"/>
        <color rgb="FF2E75B6"/>
        <rFont val="WenQuanYi Zen Hei"/>
        <family val="2"/>
      </rPr>
      <t xml:space="preserve">、持久力</t>
    </r>
    <r>
      <rPr>
        <b val="true"/>
        <sz val="10"/>
        <color rgb="FF2E75B6"/>
        <rFont val="ＭＳ Ｐゴシック"/>
        <family val="0"/>
        <charset val="1"/>
      </rPr>
      <t xml:space="preserve">-1.1</t>
    </r>
    <r>
      <rPr>
        <b val="true"/>
        <sz val="10"/>
        <color rgb="FF2E75B6"/>
        <rFont val="WenQuanYi Zen Hei"/>
        <family val="2"/>
      </rPr>
      <t xml:space="preserve">。また長い練習（</t>
    </r>
    <r>
      <rPr>
        <b val="true"/>
        <sz val="10"/>
        <color rgb="FF2E75B6"/>
        <rFont val="ＭＳ Ｐゴシック"/>
        <family val="0"/>
        <charset val="1"/>
      </rPr>
      <t xml:space="preserve">180</t>
    </r>
    <r>
      <rPr>
        <b val="true"/>
        <sz val="10"/>
        <color rgb="FF2E75B6"/>
        <rFont val="WenQuanYi Zen Hei"/>
        <family val="2"/>
      </rPr>
      <t xml:space="preserve">分以上）の日ほど補食が抜けている（</t>
    </r>
    <r>
      <rPr>
        <b val="true"/>
        <sz val="10"/>
        <color rgb="FF2E75B6"/>
        <rFont val="ＭＳ Ｐゴシック"/>
        <family val="0"/>
        <charset val="1"/>
      </rPr>
      <t xml:space="preserve">27%</t>
    </r>
    <r>
      <rPr>
        <b val="true"/>
        <sz val="10"/>
        <color rgb="FF2E75B6"/>
        <rFont val="WenQuanYi Zen Hei"/>
        <family val="2"/>
      </rPr>
      <t xml:space="preserve">）点が要注目。</t>
    </r>
  </si>
  <si>
    <r>
      <rPr>
        <b val="true"/>
        <sz val="12"/>
        <color rgb="FFFFFFFF"/>
        <rFont val="WenQuanYi Zen Hei"/>
        <family val="2"/>
      </rPr>
      <t xml:space="preserve">データ</t>
    </r>
    <r>
      <rPr>
        <b val="true"/>
        <sz val="12"/>
        <color rgb="FFFFFFFF"/>
        <rFont val="ＭＳ Ｐゴシック"/>
        <family val="0"/>
        <charset val="1"/>
      </rPr>
      <t xml:space="preserve">_</t>
    </r>
    <r>
      <rPr>
        <b val="true"/>
        <sz val="12"/>
        <color rgb="FFFFFFFF"/>
        <rFont val="WenQuanYi Zen Hei"/>
        <family val="2"/>
      </rPr>
      <t xml:space="preserve">主観的体調</t>
    </r>
  </si>
  <si>
    <t xml:space="preserve">起床時コンディション</t>
  </si>
  <si>
    <t xml:space="preserve">睡眠時間</t>
  </si>
  <si>
    <r>
      <rPr>
        <b val="true"/>
        <sz val="12"/>
        <color rgb="FFFFFFFF"/>
        <rFont val="WenQuanYi Zen Hei"/>
        <family val="2"/>
      </rPr>
      <t xml:space="preserve">データ</t>
    </r>
    <r>
      <rPr>
        <b val="true"/>
        <sz val="12"/>
        <color rgb="FFFFFFFF"/>
        <rFont val="ＭＳ Ｐゴシック"/>
        <family val="0"/>
        <charset val="1"/>
      </rPr>
      <t xml:space="preserve">_</t>
    </r>
    <r>
      <rPr>
        <b val="true"/>
        <sz val="12"/>
        <color rgb="FFFFFFFF"/>
        <rFont val="WenQuanYi Zen Hei"/>
        <family val="2"/>
      </rPr>
      <t xml:space="preserve">身体データ</t>
    </r>
  </si>
  <si>
    <r>
      <rPr>
        <b val="true"/>
        <sz val="10"/>
        <color rgb="FFFFFFFF"/>
        <rFont val="WenQuanYi Zen Hei"/>
        <family val="2"/>
      </rPr>
      <t xml:space="preserve">体重</t>
    </r>
    <r>
      <rPr>
        <b val="true"/>
        <sz val="10"/>
        <color rgb="FFFFFFFF"/>
        <rFont val="ＭＳ Ｐゴシック"/>
        <family val="0"/>
        <charset val="1"/>
      </rPr>
      <t xml:space="preserve">_kg</t>
    </r>
  </si>
  <si>
    <r>
      <rPr>
        <b val="true"/>
        <sz val="12"/>
        <color rgb="FFFFFFFF"/>
        <rFont val="WenQuanYi Zen Hei"/>
        <family val="2"/>
      </rPr>
      <t xml:space="preserve">データ</t>
    </r>
    <r>
      <rPr>
        <b val="true"/>
        <sz val="12"/>
        <color rgb="FFFFFFFF"/>
        <rFont val="ＭＳ Ｐゴシック"/>
        <family val="0"/>
        <charset val="1"/>
      </rPr>
      <t xml:space="preserve">_</t>
    </r>
    <r>
      <rPr>
        <b val="true"/>
        <sz val="12"/>
        <color rgb="FFFFFFFF"/>
        <rFont val="WenQuanYi Zen Hei"/>
        <family val="2"/>
      </rPr>
      <t xml:space="preserve">トレーニング</t>
    </r>
  </si>
  <si>
    <r>
      <rPr>
        <b val="true"/>
        <sz val="10"/>
        <color rgb="FFFFFFFF"/>
        <rFont val="WenQuanYi Zen Hei"/>
        <family val="2"/>
      </rPr>
      <t xml:space="preserve">時間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分</t>
    </r>
  </si>
  <si>
    <t xml:space="preserve">爆発力</t>
  </si>
  <si>
    <t xml:space="preserve">ウエイトトレーニング</t>
  </si>
  <si>
    <t xml:space="preserve">久しぶりの実走</t>
  </si>
  <si>
    <t xml:space="preserve">扱う重量に慣れてきた</t>
  </si>
  <si>
    <r>
      <rPr>
        <sz val="9"/>
        <rFont val="WenQuanYi Zen Hei"/>
        <family val="2"/>
      </rPr>
      <t xml:space="preserve">日福記録会　動きが遅くピッチが出なかったけど</t>
    </r>
    <r>
      <rPr>
        <sz val="9"/>
        <rFont val="ＭＳ Ｐゴシック"/>
        <family val="0"/>
        <charset val="1"/>
      </rPr>
      <t xml:space="preserve">1</t>
    </r>
    <r>
      <rPr>
        <sz val="9"/>
        <rFont val="WenQuanYi Zen Hei"/>
        <family val="2"/>
      </rPr>
      <t xml:space="preserve">発</t>
    </r>
    <r>
      <rPr>
        <sz val="9"/>
        <rFont val="ＭＳ Ｐゴシック"/>
        <family val="0"/>
        <charset val="1"/>
      </rPr>
      <t xml:space="preserve">1</t>
    </r>
    <r>
      <rPr>
        <sz val="9"/>
        <rFont val="WenQuanYi Zen Hei"/>
        <family val="2"/>
      </rPr>
      <t xml:space="preserve">発の伸びは大きかった</t>
    </r>
  </si>
  <si>
    <r>
      <rPr>
        <b val="true"/>
        <sz val="12"/>
        <color rgb="FFFFFFFF"/>
        <rFont val="WenQuanYi Zen Hei"/>
        <family val="2"/>
      </rPr>
      <t xml:space="preserve">データ</t>
    </r>
    <r>
      <rPr>
        <b val="true"/>
        <sz val="12"/>
        <color rgb="FFFFFFFF"/>
        <rFont val="ＭＳ Ｐゴシック"/>
        <family val="0"/>
        <charset val="1"/>
      </rPr>
      <t xml:space="preserve">_</t>
    </r>
    <r>
      <rPr>
        <b val="true"/>
        <sz val="12"/>
        <color rgb="FFFFFFFF"/>
        <rFont val="WenQuanYi Zen Hei"/>
        <family val="2"/>
      </rPr>
      <t xml:space="preserve">食事</t>
    </r>
  </si>
  <si>
    <t xml:space="preserve">練習後補食</t>
  </si>
  <si>
    <t xml:space="preserve">栄養バランス</t>
  </si>
  <si>
    <r>
      <rPr>
        <b val="true"/>
        <sz val="10"/>
        <color rgb="FFFFFFFF"/>
        <rFont val="WenQuanYi Zen Hei"/>
        <family val="2"/>
      </rPr>
      <t xml:space="preserve">水分摂取量</t>
    </r>
    <r>
      <rPr>
        <b val="true"/>
        <sz val="10"/>
        <color rgb="FFFFFFFF"/>
        <rFont val="ＭＳ Ｐゴシック"/>
        <family val="0"/>
        <charset val="1"/>
      </rPr>
      <t xml:space="preserve">_ml</t>
    </r>
  </si>
  <si>
    <t xml:space="preserve">きのこ海藻</t>
  </si>
  <si>
    <r>
      <rPr>
        <b val="true"/>
        <sz val="10"/>
        <color rgb="FFFFFFFF"/>
        <rFont val="WenQuanYi Zen Hei"/>
        <family val="2"/>
      </rPr>
      <t xml:space="preserve">昼タンパク質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魚</t>
    </r>
  </si>
  <si>
    <r>
      <rPr>
        <b val="true"/>
        <sz val="10"/>
        <color rgb="FFFFFFFF"/>
        <rFont val="WenQuanYi Zen Hei"/>
        <family val="2"/>
      </rPr>
      <t xml:space="preserve">昼タンパク質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肉</t>
    </r>
  </si>
  <si>
    <r>
      <rPr>
        <b val="true"/>
        <sz val="10"/>
        <color rgb="FFFFFFFF"/>
        <rFont val="WenQuanYi Zen Hei"/>
        <family val="2"/>
      </rPr>
      <t xml:space="preserve">昼タンパク質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豆</t>
    </r>
  </si>
  <si>
    <r>
      <rPr>
        <b val="true"/>
        <sz val="10"/>
        <color rgb="FFFFFFFF"/>
        <rFont val="WenQuanYi Zen Hei"/>
        <family val="2"/>
      </rPr>
      <t xml:space="preserve">昼タンパク質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卵</t>
    </r>
  </si>
  <si>
    <r>
      <rPr>
        <b val="true"/>
        <sz val="10"/>
        <color rgb="FFFFFFFF"/>
        <rFont val="WenQuanYi Zen Hei"/>
        <family val="2"/>
      </rPr>
      <t xml:space="preserve">夕タンパク質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魚</t>
    </r>
  </si>
  <si>
    <r>
      <rPr>
        <b val="true"/>
        <sz val="10"/>
        <color rgb="FFFFFFFF"/>
        <rFont val="WenQuanYi Zen Hei"/>
        <family val="2"/>
      </rPr>
      <t xml:space="preserve">夕タンパク質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肉</t>
    </r>
  </si>
  <si>
    <r>
      <rPr>
        <b val="true"/>
        <sz val="10"/>
        <color rgb="FFFFFFFF"/>
        <rFont val="WenQuanYi Zen Hei"/>
        <family val="2"/>
      </rPr>
      <t xml:space="preserve">夕タンパク質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豆</t>
    </r>
  </si>
  <si>
    <r>
      <rPr>
        <b val="true"/>
        <sz val="10"/>
        <color rgb="FFFFFFFF"/>
        <rFont val="WenQuanYi Zen Hei"/>
        <family val="2"/>
      </rPr>
      <t xml:space="preserve">夕タンパク質</t>
    </r>
    <r>
      <rPr>
        <b val="true"/>
        <sz val="10"/>
        <color rgb="FFFFFFFF"/>
        <rFont val="ＭＳ Ｐゴシック"/>
        <family val="0"/>
        <charset val="1"/>
      </rPr>
      <t xml:space="preserve">_</t>
    </r>
    <r>
      <rPr>
        <b val="true"/>
        <sz val="10"/>
        <color rgb="FFFFFFFF"/>
        <rFont val="WenQuanYi Zen Hei"/>
        <family val="2"/>
      </rPr>
      <t xml:space="preserve">卵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</si>
</sst>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\日"/>
    <numFmt numFmtId="166" formatCode="#,##0\分"/>
    <numFmt numFmtId="167" formatCode="0"/>
    <numFmt numFmtId="168" formatCode="\+0;\-0;0"/>
    <numFmt numFmtId="169" formatCode="0.00"/>
    <numFmt numFmtId="170" formatCode="\+0.00;\-0.00;0.00"/>
    <numFmt numFmtId="171" formatCode="0.0"/>
    <numFmt numFmtId="172" formatCode="#,##0"/>
    <numFmt numFmtId="173" formatCode="\+#,##0;\-#,##0;0"/>
    <numFmt numFmtId="174" formatCode="0%"/>
    <numFmt numFmtId="175" formatCode="\+0%;\-0%;0%"/>
    <numFmt numFmtId="176" formatCode="yyyy\-mm\-dd"/>
    <numFmt numFmtId="177" formatCode="General"/>
    <numFmt numFmtId="178" formatCode="m/d"/>
    <numFmt numFmtId="179" formatCode="yyyy\-mm\-dd\ h:mm:ss"/>
  </numFmts>
  <fonts count="5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5B6"/>
      <name val="WenQuanYi Zen Hei"/>
      <family val="2"/>
    </font>
    <font>
      <b val="true"/>
      <sz val="14"/>
      <color rgb="FF2E75B6"/>
      <name val="ＭＳ Ｐゴシック"/>
      <family val="0"/>
      <charset val="1"/>
    </font>
    <font>
      <b val="true"/>
      <sz val="11"/>
      <color rgb="FF1F4E79"/>
      <name val="WenQuanYi Zen Hei"/>
      <family val="2"/>
    </font>
    <font>
      <sz val="10"/>
      <name val="WenQuanYi Zen Hei"/>
      <family val="2"/>
    </font>
    <font>
      <sz val="10"/>
      <name val="ＭＳ Ｐゴシック"/>
      <family val="0"/>
      <charset val="1"/>
    </font>
    <font>
      <b val="true"/>
      <sz val="11"/>
      <color rgb="FF1F4E79"/>
      <name val="ＭＳ Ｐゴシック"/>
      <family val="0"/>
      <charset val="1"/>
    </font>
    <font>
      <b val="true"/>
      <sz val="18"/>
      <color rgb="FFFFFFFF"/>
      <name val="ＭＳ Ｐゴシック"/>
      <family val="0"/>
      <charset val="1"/>
    </font>
    <font>
      <b val="true"/>
      <sz val="18"/>
      <color rgb="FFFFFFFF"/>
      <name val="WenQuanYi Zen Hei"/>
      <family val="2"/>
    </font>
    <font>
      <b val="true"/>
      <sz val="11"/>
      <name val="WenQuanYi Zen Hei"/>
      <family val="2"/>
    </font>
    <font>
      <b val="true"/>
      <sz val="12"/>
      <name val="ＭＳ Ｐゴシック"/>
      <family val="0"/>
      <charset val="1"/>
    </font>
    <font>
      <b val="true"/>
      <sz val="12"/>
      <name val="WenQuanYi Zen Hei"/>
      <family val="2"/>
    </font>
    <font>
      <sz val="11"/>
      <name val="ＭＳ Ｐゴシック"/>
      <family val="0"/>
      <charset val="1"/>
    </font>
    <font>
      <sz val="11"/>
      <name val="WenQuanYi Zen Hei"/>
      <family val="2"/>
    </font>
    <font>
      <b val="true"/>
      <sz val="12"/>
      <color rgb="FFFFFFFF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1"/>
      <name val="ＭＳ Ｐゴシック"/>
      <family val="0"/>
      <charset val="1"/>
    </font>
    <font>
      <sz val="10"/>
      <color rgb="FF666666"/>
      <name val="ＭＳ Ｐゴシック"/>
      <family val="0"/>
      <charset val="1"/>
    </font>
    <font>
      <sz val="9"/>
      <color rgb="FF666666"/>
      <name val="WenQuanYi Zen Hei"/>
      <family val="2"/>
    </font>
    <font>
      <b val="true"/>
      <sz val="10"/>
      <color rgb="FF2E75B6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375623"/>
      <name val="WenQuanYi Zen Hei"/>
      <family val="2"/>
    </font>
    <font>
      <b val="true"/>
      <sz val="10"/>
      <color rgb="FF375623"/>
      <name val="ＭＳ Ｐゴシック"/>
      <family val="0"/>
      <charset val="1"/>
    </font>
    <font>
      <b val="true"/>
      <sz val="10"/>
      <name val="ＭＳ Ｐゴシック"/>
      <family val="0"/>
      <charset val="1"/>
    </font>
    <font>
      <b val="true"/>
      <sz val="10"/>
      <name val="WenQuanYi Zen Hei"/>
      <family val="2"/>
    </font>
    <font>
      <sz val="10"/>
      <color rgb="FF888888"/>
      <name val="WenQuanYi Zen Hei"/>
      <family val="2"/>
    </font>
    <font>
      <b val="true"/>
      <sz val="12"/>
      <color rgb="FFFFFFFF"/>
      <name val="ＭＳ Ｐゴシック"/>
      <family val="0"/>
      <charset val="1"/>
    </font>
    <font>
      <b val="true"/>
      <sz val="10"/>
      <color rgb="FFFFFFFF"/>
      <name val="ＭＳ Ｐゴシック"/>
      <family val="0"/>
      <charset val="1"/>
    </font>
    <font>
      <sz val="8"/>
      <color rgb="FF666666"/>
      <name val="ＭＳ Ｐゴシック"/>
      <family val="0"/>
      <charset val="1"/>
    </font>
    <font>
      <sz val="8"/>
      <color rgb="FF666666"/>
      <name val="WenQuanYi Zen Hei"/>
      <family val="2"/>
    </font>
    <font>
      <b val="true"/>
      <sz val="13"/>
      <color rgb="FFFFFFFF"/>
      <name val="WenQuanYi Zen Hei"/>
      <family val="2"/>
    </font>
    <font>
      <sz val="10"/>
      <color rgb="FF2E75B6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ＭＳ Ｐゴシック"/>
      <family val="0"/>
      <charset val="1"/>
    </font>
    <font>
      <b val="true"/>
      <sz val="11"/>
      <color rgb="FF375623"/>
      <name val="ＭＳ Ｐゴシック"/>
      <family val="0"/>
      <charset val="1"/>
    </font>
    <font>
      <sz val="11"/>
      <color rgb="FF375623"/>
      <name val="WenQuanYi Zen Hei"/>
      <family val="2"/>
    </font>
    <font>
      <sz val="9"/>
      <color rgb="FF666666"/>
      <name val="ＭＳ Ｐゴシック"/>
      <family val="0"/>
      <charset val="1"/>
    </font>
    <font>
      <b val="true"/>
      <sz val="11"/>
      <color rgb="FF2E75B6"/>
      <name val="WenQuanYi Zen Hei"/>
      <family val="2"/>
    </font>
    <font>
      <b val="true"/>
      <sz val="14"/>
      <color rgb="FFFFFFFF"/>
      <name val="WenQuanYi Zen Hei"/>
      <family val="2"/>
    </font>
    <font>
      <sz val="9"/>
      <color rgb="FFC00000"/>
      <name val="ＭＳ Ｐゴシック"/>
      <family val="0"/>
      <charset val="1"/>
    </font>
    <font>
      <sz val="9"/>
      <color rgb="FFC0000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CC0000"/>
      <name val="WenQuanYi Zen Hei"/>
      <family val="2"/>
    </font>
    <font>
      <b val="true"/>
      <sz val="10"/>
      <color rgb="FFCC0000"/>
      <name val="ＭＳ Ｐゴシック"/>
      <family val="0"/>
      <charset val="1"/>
    </font>
    <font>
      <b val="true"/>
      <sz val="10"/>
      <color rgb="FF2E75B6"/>
      <name val="ＭＳ Ｐゴシック"/>
      <family val="0"/>
      <charset val="1"/>
    </font>
    <font>
      <sz val="9"/>
      <name val="ＭＳ Ｐゴシック"/>
      <family val="0"/>
      <charset val="1"/>
    </font>
    <font>
      <sz val="9"/>
      <name val="WenQuanYi Zen Hei"/>
      <family val="2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9FBF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D7D7"/>
      </patternFill>
    </fill>
    <fill>
      <patternFill patternType="solid">
        <fgColor rgb="FFD6E4F0"/>
        <bgColor rgb="FFD9E1F2"/>
      </patternFill>
    </fill>
    <fill>
      <patternFill patternType="solid">
        <fgColor rgb="FFFFF2CC"/>
        <bgColor rgb="FFFFF9C4"/>
      </patternFill>
    </fill>
    <fill>
      <patternFill patternType="solid">
        <fgColor rgb="FFF2F2F2"/>
        <bgColor rgb="FFF9FBFF"/>
      </patternFill>
    </fill>
    <fill>
      <patternFill patternType="solid">
        <fgColor rgb="FFFFD7D7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4472C4"/>
        <bgColor rgb="FF4A7EBB"/>
      </patternFill>
    </fill>
    <fill>
      <patternFill patternType="solid">
        <fgColor rgb="FFFFF9C4"/>
        <bgColor rgb="FFFFF2CC"/>
      </patternFill>
    </fill>
    <fill>
      <patternFill patternType="solid">
        <fgColor rgb="FFD9E1F2"/>
        <bgColor rgb="FFD6E4F0"/>
      </patternFill>
    </fill>
    <fill>
      <patternFill patternType="solid">
        <fgColor rgb="FFFFFF00"/>
        <bgColor rgb="FFFFCC00"/>
      </patternFill>
    </fill>
    <fill>
      <patternFill patternType="solid">
        <fgColor rgb="FFF9FB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5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ont>
        <name val="ＭＳ Ｐゴシック"/>
        <charset val="1"/>
        <family val="0"/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BE4B48"/>
      <rgbColor rgb="FFFFF9C4"/>
      <rgbColor rgb="FFD6E4F0"/>
      <rgbColor rgb="FF660066"/>
      <rgbColor rgb="FFFF8080"/>
      <rgbColor rgb="FF2E75B6"/>
      <rgbColor rgb="FFBDD7EE"/>
      <rgbColor rgb="FF000080"/>
      <rgbColor rgb="FFFF00FF"/>
      <rgbColor rgb="FFF9FBFF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D9D9D9"/>
      <rgbColor rgb="FFFCE4D6"/>
      <rgbColor rgb="FFD9E1F2"/>
      <rgbColor rgb="FFFFD7D7"/>
      <rgbColor rgb="FF4472C4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4A7EBB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① 体重推移（kg）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'② 日次統合データ'!H3</c:f>
              <c:strCache>
                <c:ptCount val="1"/>
                <c:pt idx="0">
                  <c:v>体重(kg)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日次統合データ'!$H$4:$H$67</c:f>
              <c:numCache>
                <c:formatCode>0.0</c:formatCode>
                <c:ptCount val="64"/>
                <c:pt idx="0">
                  <c:v>61.4</c:v>
                </c:pt>
                <c:pt idx="1">
                  <c:v>61.3</c:v>
                </c:pt>
                <c:pt idx="2">
                  <c:v>61.8</c:v>
                </c:pt>
                <c:pt idx="3">
                  <c:v>61.3</c:v>
                </c:pt>
                <c:pt idx="4">
                  <c:v>61.1</c:v>
                </c:pt>
                <c:pt idx="5">
                  <c:v>61.8</c:v>
                </c:pt>
                <c:pt idx="6">
                  <c:v>61.7</c:v>
                </c:pt>
                <c:pt idx="7">
                  <c:v>62.4</c:v>
                </c:pt>
                <c:pt idx="8">
                  <c:v>62</c:v>
                </c:pt>
                <c:pt idx="9">
                  <c:v>62.1</c:v>
                </c:pt>
                <c:pt idx="10">
                  <c:v>61.4</c:v>
                </c:pt>
                <c:pt idx="11">
                  <c:v>62.2</c:v>
                </c:pt>
                <c:pt idx="12">
                  <c:v>62.4</c:v>
                </c:pt>
                <c:pt idx="13">
                  <c:v>62.4</c:v>
                </c:pt>
                <c:pt idx="14">
                  <c:v>63</c:v>
                </c:pt>
                <c:pt idx="15">
                  <c:v>62.2</c:v>
                </c:pt>
                <c:pt idx="16">
                  <c:v>62.7</c:v>
                </c:pt>
                <c:pt idx="17">
                  <c:v>62</c:v>
                </c:pt>
                <c:pt idx="18">
                  <c:v>62.2</c:v>
                </c:pt>
                <c:pt idx="19">
                  <c:v>62.9</c:v>
                </c:pt>
                <c:pt idx="21">
                  <c:v>62.4</c:v>
                </c:pt>
                <c:pt idx="22">
                  <c:v>62.8</c:v>
                </c:pt>
                <c:pt idx="23">
                  <c:v>62.2</c:v>
                </c:pt>
                <c:pt idx="24">
                  <c:v>63.2</c:v>
                </c:pt>
                <c:pt idx="25">
                  <c:v>63.4</c:v>
                </c:pt>
                <c:pt idx="26">
                  <c:v>63.2</c:v>
                </c:pt>
                <c:pt idx="27">
                  <c:v>63.4</c:v>
                </c:pt>
                <c:pt idx="28">
                  <c:v>62.8</c:v>
                </c:pt>
                <c:pt idx="29">
                  <c:v>62.8</c:v>
                </c:pt>
                <c:pt idx="30">
                  <c:v>62.6</c:v>
                </c:pt>
                <c:pt idx="31">
                  <c:v>62.9</c:v>
                </c:pt>
                <c:pt idx="32">
                  <c:v>63</c:v>
                </c:pt>
                <c:pt idx="33">
                  <c:v>62.4</c:v>
                </c:pt>
                <c:pt idx="34">
                  <c:v>63</c:v>
                </c:pt>
                <c:pt idx="35">
                  <c:v>62.1</c:v>
                </c:pt>
                <c:pt idx="36">
                  <c:v>62.8</c:v>
                </c:pt>
                <c:pt idx="37">
                  <c:v>62.6</c:v>
                </c:pt>
                <c:pt idx="38">
                  <c:v>63.4</c:v>
                </c:pt>
                <c:pt idx="39">
                  <c:v>62.4</c:v>
                </c:pt>
                <c:pt idx="40">
                  <c:v>62.8</c:v>
                </c:pt>
                <c:pt idx="41">
                  <c:v>62.4</c:v>
                </c:pt>
                <c:pt idx="42">
                  <c:v>63.1</c:v>
                </c:pt>
                <c:pt idx="43">
                  <c:v>62</c:v>
                </c:pt>
                <c:pt idx="44">
                  <c:v>62.9</c:v>
                </c:pt>
                <c:pt idx="45">
                  <c:v>62.1</c:v>
                </c:pt>
                <c:pt idx="46">
                  <c:v>62.5</c:v>
                </c:pt>
                <c:pt idx="47">
                  <c:v>62.2</c:v>
                </c:pt>
                <c:pt idx="48">
                  <c:v>62.8</c:v>
                </c:pt>
                <c:pt idx="49">
                  <c:v>62.3</c:v>
                </c:pt>
                <c:pt idx="50">
                  <c:v>62.8</c:v>
                </c:pt>
                <c:pt idx="51">
                  <c:v>62.6</c:v>
                </c:pt>
                <c:pt idx="52">
                  <c:v>62.9</c:v>
                </c:pt>
                <c:pt idx="53">
                  <c:v>62.8</c:v>
                </c:pt>
                <c:pt idx="54">
                  <c:v>63.5</c:v>
                </c:pt>
                <c:pt idx="55">
                  <c:v>62</c:v>
                </c:pt>
                <c:pt idx="56">
                  <c:v>63</c:v>
                </c:pt>
                <c:pt idx="57">
                  <c:v>62.1</c:v>
                </c:pt>
                <c:pt idx="58">
                  <c:v>62.4</c:v>
                </c:pt>
                <c:pt idx="60">
                  <c:v>63.2</c:v>
                </c:pt>
                <c:pt idx="61">
                  <c:v>62.5</c:v>
                </c:pt>
                <c:pt idx="63">
                  <c:v>61.9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385678"/>
        <c:axId val="88270999"/>
      </c:lineChart>
      <c:catAx>
        <c:axId val="58385678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70999"/>
        <c:crosses val="autoZero"/>
        <c:auto val="1"/>
        <c:lblAlgn val="ctr"/>
        <c:lblOffset val="100"/>
        <c:noMultiLvlLbl val="0"/>
      </c:catAx>
      <c:valAx>
        <c:axId val="88270999"/>
        <c:scaling>
          <c:orientation val="minMax"/>
          <c:max val="64"/>
          <c:min val="6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856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② RPE・運動後疲労（練習日のみ）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'② 日次統合データ'!D3</c:f>
              <c:strCache>
                <c:ptCount val="1"/>
                <c:pt idx="0">
                  <c:v>RPE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日次統合データ'!$D$4:$D$67</c:f>
              <c:numCache>
                <c:formatCode>General</c:formatCode>
                <c:ptCount val="64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3</c:v>
                </c:pt>
                <c:pt idx="16">
                  <c:v>6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10</c:v>
                </c:pt>
                <c:pt idx="25">
                  <c:v>7</c:v>
                </c:pt>
                <c:pt idx="26">
                  <c:v>6</c:v>
                </c:pt>
                <c:pt idx="27">
                  <c:v>7</c:v>
                </c:pt>
                <c:pt idx="28">
                  <c:v>5</c:v>
                </c:pt>
                <c:pt idx="29">
                  <c:v>5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5</c:v>
                </c:pt>
                <c:pt idx="34">
                  <c:v>8</c:v>
                </c:pt>
                <c:pt idx="35">
                  <c:v>8</c:v>
                </c:pt>
                <c:pt idx="36">
                  <c:v>6</c:v>
                </c:pt>
                <c:pt idx="37">
                  <c:v>5</c:v>
                </c:pt>
                <c:pt idx="38">
                  <c:v>7</c:v>
                </c:pt>
                <c:pt idx="39">
                  <c:v>8</c:v>
                </c:pt>
                <c:pt idx="41">
                  <c:v>8</c:v>
                </c:pt>
                <c:pt idx="42">
                  <c:v>6</c:v>
                </c:pt>
                <c:pt idx="43">
                  <c:v>6</c:v>
                </c:pt>
                <c:pt idx="45">
                  <c:v>7</c:v>
                </c:pt>
                <c:pt idx="46">
                  <c:v>7</c:v>
                </c:pt>
                <c:pt idx="47">
                  <c:v>8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2">
                  <c:v>8</c:v>
                </c:pt>
                <c:pt idx="54">
                  <c:v>4</c:v>
                </c:pt>
                <c:pt idx="55">
                  <c:v>6</c:v>
                </c:pt>
                <c:pt idx="56">
                  <c:v>7</c:v>
                </c:pt>
                <c:pt idx="57">
                  <c:v>7</c:v>
                </c:pt>
                <c:pt idx="60">
                  <c:v>6</c:v>
                </c:pt>
                <c:pt idx="61">
                  <c:v>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'② 日次統合データ'!G3</c:f>
              <c:strCache>
                <c:ptCount val="1"/>
                <c:pt idx="0">
                  <c:v>運動後疲労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日次統合データ'!$G$4:$G$67</c:f>
              <c:numCache>
                <c:formatCode>General</c:formatCode>
                <c:ptCount val="6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5</c:v>
                </c:pt>
                <c:pt idx="49">
                  <c:v>3</c:v>
                </c:pt>
                <c:pt idx="50">
                  <c:v>5</c:v>
                </c:pt>
                <c:pt idx="52">
                  <c:v>2</c:v>
                </c:pt>
                <c:pt idx="54">
                  <c:v>4</c:v>
                </c:pt>
                <c:pt idx="55">
                  <c:v>5</c:v>
                </c:pt>
                <c:pt idx="56">
                  <c:v>2</c:v>
                </c:pt>
                <c:pt idx="57">
                  <c:v>3</c:v>
                </c:pt>
                <c:pt idx="60">
                  <c:v>3</c:v>
                </c:pt>
                <c:pt idx="61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219525"/>
        <c:axId val="17911907"/>
      </c:lineChart>
      <c:catAx>
        <c:axId val="24219525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11907"/>
        <c:crosses val="autoZero"/>
        <c:auto val="1"/>
        <c:lblAlgn val="ctr"/>
        <c:lblOffset val="100"/>
        <c:noMultiLvlLbl val="0"/>
      </c:catAx>
      <c:valAx>
        <c:axId val="17911907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スコア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195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③ 瞬発力・持久力（練習日のみ / 高いほど良好）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'② 日次統合データ'!E3</c:f>
              <c:strCache>
                <c:ptCount val="1"/>
                <c:pt idx="0">
                  <c:v>瞬発力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日次統合データ'!$E$4:$E$67</c:f>
              <c:numCache>
                <c:formatCode>General</c:formatCode>
                <c:ptCount val="64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2</c:v>
                </c:pt>
                <c:pt idx="49">
                  <c:v>4</c:v>
                </c:pt>
                <c:pt idx="50">
                  <c:v>2</c:v>
                </c:pt>
                <c:pt idx="52">
                  <c:v>4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60">
                  <c:v>4</c:v>
                </c:pt>
                <c:pt idx="61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'② 日次統合データ'!F3</c:f>
              <c:strCache>
                <c:ptCount val="1"/>
                <c:pt idx="0">
                  <c:v>持久力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日次統合データ'!$F$4:$F$67</c:f>
              <c:numCache>
                <c:formatCode>General</c:formatCode>
                <c:ptCount val="64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  <c:pt idx="49">
                  <c:v>4</c:v>
                </c:pt>
                <c:pt idx="50">
                  <c:v>2</c:v>
                </c:pt>
                <c:pt idx="52">
                  <c:v>3</c:v>
                </c:pt>
                <c:pt idx="54">
                  <c:v>3</c:v>
                </c:pt>
                <c:pt idx="55">
                  <c:v>1</c:v>
                </c:pt>
                <c:pt idx="56">
                  <c:v>4</c:v>
                </c:pt>
                <c:pt idx="57">
                  <c:v>4</c:v>
                </c:pt>
                <c:pt idx="60">
                  <c:v>4</c:v>
                </c:pt>
                <c:pt idx="61">
                  <c:v>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35384"/>
        <c:axId val="64176941"/>
      </c:lineChart>
      <c:catAx>
        <c:axId val="4335384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76941"/>
        <c:crosses val="autoZero"/>
        <c:auto val="1"/>
        <c:lblAlgn val="ctr"/>
        <c:lblOffset val="100"/>
        <c:noMultiLvlLbl val="0"/>
      </c:catAx>
      <c:valAx>
        <c:axId val="64176941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スコア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53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④ 睡眠時間（h）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'② 日次統合データ'!K3</c:f>
              <c:strCache>
                <c:ptCount val="1"/>
                <c:pt idx="0">
                  <c:v>睡眠時間(h)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日次統合データ'!$K$4:$K$67</c:f>
              <c:numCache>
                <c:formatCode>General</c:formatCode>
                <c:ptCount val="64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7</c:v>
                </c:pt>
                <c:pt idx="11">
                  <c:v>5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6</c:v>
                </c:pt>
                <c:pt idx="51">
                  <c:v>7</c:v>
                </c:pt>
                <c:pt idx="52">
                  <c:v>6</c:v>
                </c:pt>
                <c:pt idx="53">
                  <c:v>8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5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</c:numCache>
            </c:numRef>
          </c:val>
        </c:ser>
        <c:gapWidth val="150"/>
        <c:overlap val="0"/>
        <c:axId val="89303080"/>
        <c:axId val="28686211"/>
      </c:barChart>
      <c:catAx>
        <c:axId val="89303080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86211"/>
        <c:crosses val="autoZero"/>
        <c:auto val="1"/>
        <c:lblAlgn val="ctr"/>
        <c:lblOffset val="100"/>
        <c:noMultiLvlLbl val="0"/>
      </c:catAx>
      <c:valAx>
        <c:axId val="28686211"/>
        <c:scaling>
          <c:orientation val="minMax"/>
          <c:max val="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030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⑤ 睡眠の質・起床時コンディション（低いほど良好）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'② 日次統合データ'!J3</c:f>
              <c:strCache>
                <c:ptCount val="1"/>
                <c:pt idx="0">
                  <c:v>睡眠の質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日次統合データ'!$J$4:$J$67</c:f>
              <c:numCache>
                <c:formatCode>General</c:formatCode>
                <c:ptCount val="6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'② 日次統合データ'!I3</c:f>
              <c:strCache>
                <c:ptCount val="1"/>
                <c:pt idx="0">
                  <c:v>起床時CD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circle"/>
            <c:size val="4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'② 日次統合データ'!$A$4:$A$67</c:f>
              <c:strCache>
                <c:ptCount val="64"/>
                <c:pt idx="0">
                  <c:v>2026-07-22</c:v>
                </c:pt>
                <c:pt idx="1">
                  <c:v>2026-07-23</c:v>
                </c:pt>
                <c:pt idx="2">
                  <c:v>2026-07-24</c:v>
                </c:pt>
                <c:pt idx="3">
                  <c:v>2026-07-25</c:v>
                </c:pt>
                <c:pt idx="4">
                  <c:v>2026-07-26</c:v>
                </c:pt>
                <c:pt idx="5">
                  <c:v>2026-07-27</c:v>
                </c:pt>
                <c:pt idx="6">
                  <c:v>2026-07-28</c:v>
                </c:pt>
                <c:pt idx="7">
                  <c:v>2026-07-29</c:v>
                </c:pt>
                <c:pt idx="8">
                  <c:v>2026-07-30</c:v>
                </c:pt>
                <c:pt idx="9">
                  <c:v>2026-07-31</c:v>
                </c:pt>
                <c:pt idx="10">
                  <c:v>2026-08-01</c:v>
                </c:pt>
                <c:pt idx="11">
                  <c:v>2026-08-02</c:v>
                </c:pt>
                <c:pt idx="12">
                  <c:v>2026-08-04</c:v>
                </c:pt>
                <c:pt idx="13">
                  <c:v>2026-08-11</c:v>
                </c:pt>
                <c:pt idx="14">
                  <c:v>2026-08-12</c:v>
                </c:pt>
                <c:pt idx="15">
                  <c:v>2026-08-13</c:v>
                </c:pt>
                <c:pt idx="16">
                  <c:v>2026-08-14</c:v>
                </c:pt>
                <c:pt idx="17">
                  <c:v>2026-08-15</c:v>
                </c:pt>
                <c:pt idx="18">
                  <c:v>2026-08-16</c:v>
                </c:pt>
                <c:pt idx="19">
                  <c:v>2026-08-17</c:v>
                </c:pt>
                <c:pt idx="20">
                  <c:v>2026-08-18</c:v>
                </c:pt>
                <c:pt idx="21">
                  <c:v>2026-08-20</c:v>
                </c:pt>
                <c:pt idx="22">
                  <c:v>2026-08-22</c:v>
                </c:pt>
                <c:pt idx="23">
                  <c:v>2026-08-23</c:v>
                </c:pt>
                <c:pt idx="24">
                  <c:v>2026-08-24</c:v>
                </c:pt>
                <c:pt idx="25">
                  <c:v>2026-08-25</c:v>
                </c:pt>
                <c:pt idx="26">
                  <c:v>2026-08-26</c:v>
                </c:pt>
                <c:pt idx="27">
                  <c:v>2026-08-27</c:v>
                </c:pt>
                <c:pt idx="28">
                  <c:v>2026-08-28</c:v>
                </c:pt>
                <c:pt idx="29">
                  <c:v>2026-08-29</c:v>
                </c:pt>
                <c:pt idx="30">
                  <c:v>2026-08-30</c:v>
                </c:pt>
                <c:pt idx="31">
                  <c:v>2026-08-31</c:v>
                </c:pt>
                <c:pt idx="32">
                  <c:v>2026-09-01</c:v>
                </c:pt>
                <c:pt idx="33">
                  <c:v>2026-09-02</c:v>
                </c:pt>
                <c:pt idx="34">
                  <c:v>2026-09-03</c:v>
                </c:pt>
                <c:pt idx="35">
                  <c:v>2026-09-04</c:v>
                </c:pt>
                <c:pt idx="36">
                  <c:v>2026-09-05</c:v>
                </c:pt>
                <c:pt idx="37">
                  <c:v>2026-09-06</c:v>
                </c:pt>
                <c:pt idx="38">
                  <c:v>2026-09-07</c:v>
                </c:pt>
                <c:pt idx="39">
                  <c:v>2026-09-08</c:v>
                </c:pt>
                <c:pt idx="40">
                  <c:v>2026-09-09</c:v>
                </c:pt>
                <c:pt idx="41">
                  <c:v>2026-09-10</c:v>
                </c:pt>
                <c:pt idx="42">
                  <c:v>2026-09-11</c:v>
                </c:pt>
                <c:pt idx="43">
                  <c:v>2026-09-12</c:v>
                </c:pt>
                <c:pt idx="44">
                  <c:v>2026-09-13</c:v>
                </c:pt>
                <c:pt idx="45">
                  <c:v>2026-09-14</c:v>
                </c:pt>
                <c:pt idx="46">
                  <c:v>2026-09-15</c:v>
                </c:pt>
                <c:pt idx="47">
                  <c:v>2026-09-16</c:v>
                </c:pt>
                <c:pt idx="48">
                  <c:v>2026-09-17</c:v>
                </c:pt>
                <c:pt idx="49">
                  <c:v>2026-09-18</c:v>
                </c:pt>
                <c:pt idx="50">
                  <c:v>2026-09-19</c:v>
                </c:pt>
                <c:pt idx="51">
                  <c:v>2026-09-20</c:v>
                </c:pt>
                <c:pt idx="52">
                  <c:v>2026-09-21</c:v>
                </c:pt>
                <c:pt idx="53">
                  <c:v>2026-09-22</c:v>
                </c:pt>
                <c:pt idx="54">
                  <c:v>2026-09-23</c:v>
                </c:pt>
                <c:pt idx="55">
                  <c:v>2026-09-24</c:v>
                </c:pt>
                <c:pt idx="56">
                  <c:v>2026-09-25</c:v>
                </c:pt>
                <c:pt idx="57">
                  <c:v>2026-09-26</c:v>
                </c:pt>
                <c:pt idx="58">
                  <c:v>2026-09-27</c:v>
                </c:pt>
                <c:pt idx="59">
                  <c:v>2026-09-28</c:v>
                </c:pt>
                <c:pt idx="60">
                  <c:v>2026-09-29</c:v>
                </c:pt>
                <c:pt idx="61">
                  <c:v>2026-09-30</c:v>
                </c:pt>
                <c:pt idx="62">
                  <c:v>2026-10-02</c:v>
                </c:pt>
                <c:pt idx="63">
                  <c:v>2026-10-04</c:v>
                </c:pt>
              </c:strCache>
            </c:strRef>
          </c:cat>
          <c:val>
            <c:numRef>
              <c:f>'② 日次統合データ'!$I$4:$I$67</c:f>
              <c:numCache>
                <c:formatCode>General</c:formatCode>
                <c:ptCount val="6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62022"/>
        <c:axId val="95278692"/>
      </c:lineChart>
      <c:catAx>
        <c:axId val="4762022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78692"/>
        <c:crosses val="autoZero"/>
        <c:auto val="1"/>
        <c:lblAlgn val="ctr"/>
        <c:lblOffset val="100"/>
        <c:noMultiLvlLbl val="0"/>
      </c:catAx>
      <c:valAx>
        <c:axId val="95278692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スコア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20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⑥ 週間トレーニング時間（分）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'④ トレンドグラフ'!B6</c:f>
              <c:strCache>
                <c:ptCount val="1"/>
                <c:pt idx="0">
                  <c:v>練習時間(分)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'④ トレンドグラフ'!$A$7:$A$17</c:f>
              <c:strCache>
                <c:ptCount val="11"/>
                <c:pt idx="0">
                  <c:v>7/20</c:v>
                </c:pt>
                <c:pt idx="1">
                  <c:v>7/27</c:v>
                </c:pt>
                <c:pt idx="2">
                  <c:v>8/3</c:v>
                </c:pt>
                <c:pt idx="3">
                  <c:v>8/10</c:v>
                </c:pt>
                <c:pt idx="4">
                  <c:v>8/17</c:v>
                </c:pt>
                <c:pt idx="5">
                  <c:v>8/24</c:v>
                </c:pt>
                <c:pt idx="6">
                  <c:v>8/31</c:v>
                </c:pt>
                <c:pt idx="7">
                  <c:v>9/7</c:v>
                </c:pt>
                <c:pt idx="8">
                  <c:v>9/14</c:v>
                </c:pt>
                <c:pt idx="9">
                  <c:v>9/21</c:v>
                </c:pt>
                <c:pt idx="10">
                  <c:v>9/28</c:v>
                </c:pt>
              </c:strCache>
            </c:strRef>
          </c:cat>
          <c:val>
            <c:numRef>
              <c:f>'④ トレンドグラフ'!$B$7:$B$17</c:f>
              <c:numCache>
                <c:formatCode>General</c:formatCode>
                <c:ptCount val="11"/>
                <c:pt idx="0">
                  <c:v>360</c:v>
                </c:pt>
                <c:pt idx="1">
                  <c:v>600</c:v>
                </c:pt>
                <c:pt idx="2">
                  <c:v>120</c:v>
                </c:pt>
                <c:pt idx="3">
                  <c:v>480</c:v>
                </c:pt>
                <c:pt idx="4">
                  <c:v>390</c:v>
                </c:pt>
                <c:pt idx="5">
                  <c:v>600</c:v>
                </c:pt>
                <c:pt idx="6">
                  <c:v>600</c:v>
                </c:pt>
                <c:pt idx="7">
                  <c:v>700</c:v>
                </c:pt>
                <c:pt idx="8">
                  <c:v>960</c:v>
                </c:pt>
                <c:pt idx="9">
                  <c:v>420</c:v>
                </c:pt>
                <c:pt idx="10">
                  <c:v>240</c:v>
                </c:pt>
              </c:numCache>
            </c:numRef>
          </c:val>
        </c:ser>
        <c:gapWidth val="150"/>
        <c:overlap val="0"/>
        <c:axId val="50879135"/>
        <c:axId val="46509784"/>
      </c:barChart>
      <c:catAx>
        <c:axId val="50879135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09784"/>
        <c:crosses val="autoZero"/>
        <c:auto val="1"/>
        <c:lblAlgn val="ctr"/>
        <c:lblOffset val="100"/>
        <c:noMultiLvlLbl val="0"/>
      </c:catAx>
      <c:valAx>
        <c:axId val="46509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8791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9</xdr:col>
      <xdr:colOff>326880</xdr:colOff>
      <xdr:row>34</xdr:row>
      <xdr:rowOff>32400</xdr:rowOff>
    </xdr:to>
    <xdr:graphicFrame>
      <xdr:nvGraphicFramePr>
        <xdr:cNvPr id="0" name="Chart 1"/>
        <xdr:cNvGraphicFramePr/>
      </xdr:nvGraphicFramePr>
      <xdr:xfrm>
        <a:off x="0" y="393372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326880</xdr:colOff>
      <xdr:row>50</xdr:row>
      <xdr:rowOff>32760</xdr:rowOff>
    </xdr:to>
    <xdr:graphicFrame>
      <xdr:nvGraphicFramePr>
        <xdr:cNvPr id="1" name="Chart 2"/>
        <xdr:cNvGraphicFramePr/>
      </xdr:nvGraphicFramePr>
      <xdr:xfrm>
        <a:off x="0" y="698184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52</xdr:row>
      <xdr:rowOff>0</xdr:rowOff>
    </xdr:from>
    <xdr:to>
      <xdr:col>9</xdr:col>
      <xdr:colOff>326880</xdr:colOff>
      <xdr:row>66</xdr:row>
      <xdr:rowOff>32760</xdr:rowOff>
    </xdr:to>
    <xdr:graphicFrame>
      <xdr:nvGraphicFramePr>
        <xdr:cNvPr id="2" name="Chart 3"/>
        <xdr:cNvGraphicFramePr/>
      </xdr:nvGraphicFramePr>
      <xdr:xfrm>
        <a:off x="0" y="1002996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68</xdr:row>
      <xdr:rowOff>0</xdr:rowOff>
    </xdr:from>
    <xdr:to>
      <xdr:col>9</xdr:col>
      <xdr:colOff>326880</xdr:colOff>
      <xdr:row>82</xdr:row>
      <xdr:rowOff>32400</xdr:rowOff>
    </xdr:to>
    <xdr:graphicFrame>
      <xdr:nvGraphicFramePr>
        <xdr:cNvPr id="3" name="Chart 4"/>
        <xdr:cNvGraphicFramePr/>
      </xdr:nvGraphicFramePr>
      <xdr:xfrm>
        <a:off x="0" y="1307772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84</xdr:row>
      <xdr:rowOff>0</xdr:rowOff>
    </xdr:from>
    <xdr:to>
      <xdr:col>9</xdr:col>
      <xdr:colOff>326880</xdr:colOff>
      <xdr:row>98</xdr:row>
      <xdr:rowOff>32760</xdr:rowOff>
    </xdr:to>
    <xdr:graphicFrame>
      <xdr:nvGraphicFramePr>
        <xdr:cNvPr id="4" name="Chart 5"/>
        <xdr:cNvGraphicFramePr/>
      </xdr:nvGraphicFramePr>
      <xdr:xfrm>
        <a:off x="0" y="1612584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</xdr:row>
      <xdr:rowOff>0</xdr:rowOff>
    </xdr:from>
    <xdr:to>
      <xdr:col>19</xdr:col>
      <xdr:colOff>253800</xdr:colOff>
      <xdr:row>18</xdr:row>
      <xdr:rowOff>32760</xdr:rowOff>
    </xdr:to>
    <xdr:graphicFrame>
      <xdr:nvGraphicFramePr>
        <xdr:cNvPr id="5" name="Chart 6"/>
        <xdr:cNvGraphicFramePr/>
      </xdr:nvGraphicFramePr>
      <xdr:xfrm>
        <a:off x="7515360" y="88596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2" customFormat="false" ht="18" hidden="false" customHeight="true" outlineLevel="0" collapsed="false">
      <c r="B2" s="1" t="s">
        <v>0</v>
      </c>
    </row>
    <row r="3" customFormat="false" ht="18" hidden="false" customHeight="true" outlineLevel="0" collapsed="false"/>
    <row r="4" customFormat="false" ht="18" hidden="false" customHeight="true" outlineLevel="0" collapsed="false">
      <c r="B4" s="2" t="s">
        <v>1</v>
      </c>
    </row>
    <row r="5" customFormat="false" ht="18" hidden="false" customHeight="true" outlineLevel="0" collapsed="false">
      <c r="B5" s="3" t="s">
        <v>2</v>
      </c>
    </row>
    <row r="6" customFormat="false" ht="18" hidden="false" customHeight="true" outlineLevel="0" collapsed="false">
      <c r="B6" s="3" t="s">
        <v>3</v>
      </c>
    </row>
    <row r="7" customFormat="false" ht="18" hidden="false" customHeight="true" outlineLevel="0" collapsed="false">
      <c r="B7" s="3" t="s">
        <v>4</v>
      </c>
    </row>
    <row r="8" customFormat="false" ht="18" hidden="false" customHeight="true" outlineLevel="0" collapsed="false">
      <c r="B8" s="3" t="s">
        <v>5</v>
      </c>
    </row>
    <row r="9" customFormat="false" ht="18" hidden="false" customHeight="true" outlineLevel="0" collapsed="false">
      <c r="B9" s="3" t="s">
        <v>6</v>
      </c>
    </row>
    <row r="10" customFormat="false" ht="18" hidden="false" customHeight="true" outlineLevel="0" collapsed="false">
      <c r="B10" s="3" t="s">
        <v>7</v>
      </c>
    </row>
    <row r="11" customFormat="false" ht="18" hidden="false" customHeight="true" outlineLevel="0" collapsed="false"/>
    <row r="12" customFormat="false" ht="18" hidden="false" customHeight="true" outlineLevel="0" collapsed="false">
      <c r="B12" s="2" t="s">
        <v>8</v>
      </c>
    </row>
    <row r="13" customFormat="false" ht="18" hidden="false" customHeight="true" outlineLevel="0" collapsed="false">
      <c r="B13" s="3" t="s">
        <v>9</v>
      </c>
    </row>
    <row r="14" customFormat="false" ht="18" hidden="false" customHeight="true" outlineLevel="0" collapsed="false">
      <c r="B14" s="3" t="s">
        <v>10</v>
      </c>
    </row>
    <row r="15" customFormat="false" ht="18" hidden="false" customHeight="true" outlineLevel="0" collapsed="false">
      <c r="B15" s="3" t="s">
        <v>11</v>
      </c>
    </row>
    <row r="16" customFormat="false" ht="18" hidden="false" customHeight="true" outlineLevel="0" collapsed="false">
      <c r="B16" s="3" t="s">
        <v>12</v>
      </c>
    </row>
    <row r="17" customFormat="false" ht="18" hidden="false" customHeight="true" outlineLevel="0" collapsed="false">
      <c r="B17" s="3" t="s">
        <v>13</v>
      </c>
    </row>
    <row r="18" customFormat="false" ht="18" hidden="false" customHeight="true" outlineLevel="0" collapsed="false"/>
    <row r="19" customFormat="false" ht="18" hidden="false" customHeight="true" outlineLevel="0" collapsed="false">
      <c r="B19" s="2" t="s">
        <v>14</v>
      </c>
    </row>
    <row r="20" customFormat="false" ht="18" hidden="false" customHeight="true" outlineLevel="0" collapsed="false">
      <c r="B20" s="3" t="s">
        <v>15</v>
      </c>
    </row>
    <row r="21" customFormat="false" ht="18" hidden="false" customHeight="true" outlineLevel="0" collapsed="false">
      <c r="B21" s="3" t="s">
        <v>16</v>
      </c>
    </row>
    <row r="22" customFormat="false" ht="18" hidden="false" customHeight="true" outlineLevel="0" collapsed="false">
      <c r="B22" s="3" t="s">
        <v>17</v>
      </c>
    </row>
    <row r="23" customFormat="false" ht="18" hidden="false" customHeight="true" outlineLevel="0" collapsed="false">
      <c r="B23" s="3" t="s">
        <v>18</v>
      </c>
    </row>
    <row r="24" customFormat="false" ht="18" hidden="false" customHeight="true" outlineLevel="0" collapsed="false"/>
    <row r="25" customFormat="false" ht="18" hidden="false" customHeight="true" outlineLevel="0" collapsed="false">
      <c r="B25" s="2" t="s">
        <v>19</v>
      </c>
    </row>
    <row r="26" customFormat="false" ht="18" hidden="false" customHeight="true" outlineLevel="0" collapsed="false">
      <c r="B26" s="3" t="s">
        <v>20</v>
      </c>
    </row>
    <row r="27" customFormat="false" ht="18" hidden="false" customHeight="true" outlineLevel="0" collapsed="false">
      <c r="B27" s="3" t="s">
        <v>21</v>
      </c>
    </row>
    <row r="28" customFormat="false" ht="18" hidden="false" customHeight="true" outlineLevel="0" collapsed="false">
      <c r="B28" s="3" t="s">
        <v>22</v>
      </c>
    </row>
    <row r="29" customFormat="false" ht="18" hidden="false" customHeight="true" outlineLevel="0" collapsed="false">
      <c r="B29" s="3" t="s">
        <v>23</v>
      </c>
    </row>
    <row r="30" customFormat="false" ht="18" hidden="false" customHeight="true" outlineLevel="0" collapsed="false">
      <c r="B3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4" t="s">
        <v>25</v>
      </c>
      <c r="C2" s="4"/>
      <c r="D2" s="4"/>
      <c r="E2" s="4"/>
      <c r="F2" s="4"/>
      <c r="G2" s="4"/>
      <c r="H2" s="4"/>
    </row>
    <row r="3" customFormat="false" ht="7.5" hidden="false" customHeight="true" outlineLevel="0" collapsed="false"/>
    <row r="4" customFormat="false" ht="21.75" hidden="false" customHeight="true" outlineLevel="0" collapsed="false">
      <c r="B4" s="5" t="s">
        <v>26</v>
      </c>
      <c r="C4" s="6" t="s">
        <v>27</v>
      </c>
      <c r="F4" s="5" t="s">
        <v>28</v>
      </c>
      <c r="G4" s="7" t="s">
        <v>29</v>
      </c>
    </row>
    <row r="5" customFormat="false" ht="19.5" hidden="false" customHeight="true" outlineLevel="0" collapsed="false">
      <c r="B5" s="5" t="s">
        <v>30</v>
      </c>
      <c r="C5" s="7" t="str">
        <f aca="false">COUNTA('② 日次統合データ'!A4:A67)&amp;"日（期間76日中）"</f>
        <v>64日（期間76日中）</v>
      </c>
      <c r="F5" s="5" t="s">
        <v>31</v>
      </c>
      <c r="G5" s="7" t="s">
        <v>32</v>
      </c>
    </row>
    <row r="6" customFormat="false" ht="19.5" hidden="false" customHeight="true" outlineLevel="0" collapsed="false">
      <c r="F6" s="5" t="s">
        <v>33</v>
      </c>
      <c r="G6" s="7" t="s">
        <v>34</v>
      </c>
    </row>
    <row r="7" customFormat="false" ht="7.5" hidden="false" customHeight="true" outlineLevel="0" collapsed="false"/>
    <row r="8" customFormat="false" ht="21.75" hidden="false" customHeight="true" outlineLevel="0" collapsed="false">
      <c r="B8" s="8" t="s">
        <v>35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B9" s="9" t="s">
        <v>36</v>
      </c>
      <c r="C9" s="9" t="s">
        <v>37</v>
      </c>
      <c r="D9" s="9" t="s">
        <v>38</v>
      </c>
      <c r="E9" s="9" t="s">
        <v>39</v>
      </c>
      <c r="F9" s="9" t="s">
        <v>40</v>
      </c>
      <c r="G9" s="9" t="s">
        <v>41</v>
      </c>
      <c r="H9" s="9"/>
    </row>
    <row r="10" customFormat="false" ht="30" hidden="false" customHeight="true" outlineLevel="0" collapsed="false">
      <c r="B10" s="10" t="s">
        <v>42</v>
      </c>
      <c r="C10" s="11" t="n">
        <f aca="false">COUNTIF('② 日次統合データ'!B4:B67,"&lt;&gt;休養日")</f>
        <v>52</v>
      </c>
      <c r="D10" s="12" t="n">
        <v>45</v>
      </c>
      <c r="E10" s="13" t="s">
        <v>43</v>
      </c>
      <c r="F10" s="14" t="s">
        <v>44</v>
      </c>
      <c r="G10" s="15" t="s">
        <v>45</v>
      </c>
      <c r="H10" s="15"/>
    </row>
    <row r="11" customFormat="false" ht="30" hidden="false" customHeight="true" outlineLevel="0" collapsed="false">
      <c r="B11" s="10" t="s">
        <v>46</v>
      </c>
      <c r="C11" s="11" t="n">
        <f aca="false">COUNTIF('② 日次統合データ'!B4:B67,"休養日")</f>
        <v>12</v>
      </c>
      <c r="D11" s="12" t="n">
        <v>8</v>
      </c>
      <c r="E11" s="13" t="s">
        <v>43</v>
      </c>
      <c r="F11" s="14" t="s">
        <v>47</v>
      </c>
      <c r="G11" s="16" t="s">
        <v>48</v>
      </c>
      <c r="H11" s="16"/>
    </row>
    <row r="12" customFormat="false" ht="30" hidden="false" customHeight="true" outlineLevel="0" collapsed="false">
      <c r="B12" s="10" t="s">
        <v>49</v>
      </c>
      <c r="C12" s="17" t="n">
        <f aca="false">SUM('② 日次統合データ'!C4:C67)</f>
        <v>5470</v>
      </c>
      <c r="D12" s="18" t="n">
        <v>4530</v>
      </c>
      <c r="E12" s="13" t="s">
        <v>43</v>
      </c>
      <c r="F12" s="14" t="s">
        <v>50</v>
      </c>
      <c r="G12" s="16" t="s">
        <v>51</v>
      </c>
      <c r="H12" s="16"/>
    </row>
    <row r="13" customFormat="false" ht="30" hidden="false" customHeight="true" outlineLevel="0" collapsed="false">
      <c r="B13" s="19" t="s">
        <v>52</v>
      </c>
      <c r="C13" s="20" t="n">
        <f aca="false">SUM('② 日次統合データ'!C4:C67)/COUNTIF('② 日次統合データ'!B4:B67,"&lt;&gt;休養日")</f>
        <v>105.192307692308</v>
      </c>
      <c r="D13" s="21" t="n">
        <v>100.666666666667</v>
      </c>
      <c r="E13" s="22" t="n">
        <f aca="false">C13-D13</f>
        <v>4.52564102564099</v>
      </c>
      <c r="F13" s="14" t="s">
        <v>53</v>
      </c>
      <c r="G13" s="16" t="s">
        <v>54</v>
      </c>
      <c r="H13" s="16"/>
    </row>
    <row r="14" customFormat="false" ht="30" hidden="false" customHeight="true" outlineLevel="0" collapsed="false">
      <c r="B14" s="10" t="s">
        <v>55</v>
      </c>
      <c r="C14" s="11" t="n">
        <f aca="false">COUNTIF('② 日次統合データ'!B4:B67,"*ウエイト*")</f>
        <v>4</v>
      </c>
      <c r="D14" s="12" t="n">
        <v>0</v>
      </c>
      <c r="E14" s="13" t="s">
        <v>43</v>
      </c>
      <c r="F14" s="14" t="s">
        <v>56</v>
      </c>
      <c r="G14" s="16" t="s">
        <v>57</v>
      </c>
      <c r="H14" s="16"/>
    </row>
    <row r="15" customFormat="false" ht="30" hidden="false" customHeight="true" outlineLevel="0" collapsed="false">
      <c r="B15" s="10" t="s">
        <v>58</v>
      </c>
      <c r="C15" s="23" t="n">
        <f aca="false">AVERAGE('② 日次統合データ'!D4:D67)</f>
        <v>6.53846153846154</v>
      </c>
      <c r="D15" s="24" t="n">
        <v>6.4</v>
      </c>
      <c r="E15" s="25" t="n">
        <f aca="false">C15-D15</f>
        <v>0.138461538461538</v>
      </c>
      <c r="F15" s="26" t="s">
        <v>59</v>
      </c>
      <c r="G15" s="16" t="s">
        <v>60</v>
      </c>
      <c r="H15" s="16"/>
    </row>
    <row r="16" customFormat="false" ht="30" hidden="false" customHeight="true" outlineLevel="0" collapsed="false">
      <c r="B16" s="10" t="s">
        <v>61</v>
      </c>
      <c r="C16" s="23" t="n">
        <f aca="false">AVERAGE('② 日次統合データ'!G4:G67)</f>
        <v>3.38461538461538</v>
      </c>
      <c r="D16" s="24" t="n">
        <v>3.55555555555556</v>
      </c>
      <c r="E16" s="27" t="n">
        <f aca="false">C16-D16</f>
        <v>-0.17094017094017</v>
      </c>
      <c r="F16" s="14" t="s">
        <v>62</v>
      </c>
      <c r="G16" s="15" t="s">
        <v>63</v>
      </c>
      <c r="H16" s="15"/>
    </row>
    <row r="17" customFormat="false" ht="30" hidden="false" customHeight="true" outlineLevel="0" collapsed="false">
      <c r="B17" s="10" t="s">
        <v>64</v>
      </c>
      <c r="C17" s="23" t="n">
        <f aca="false">AVERAGE('② 日次統合データ'!K4:K67)</f>
        <v>6.71875</v>
      </c>
      <c r="D17" s="24" t="n">
        <v>7.16037735849057</v>
      </c>
      <c r="E17" s="28" t="n">
        <f aca="false">C17-D17</f>
        <v>-0.441627358490566</v>
      </c>
      <c r="F17" s="26" t="s">
        <v>65</v>
      </c>
      <c r="G17" s="15" t="s">
        <v>66</v>
      </c>
      <c r="H17" s="15"/>
    </row>
    <row r="18" customFormat="false" ht="30" hidden="false" customHeight="true" outlineLevel="0" collapsed="false">
      <c r="B18" s="10" t="s">
        <v>67</v>
      </c>
      <c r="C18" s="11" t="n">
        <f aca="false">COUNTIF('② 日次統合データ'!K4:K67,"&lt;7")</f>
        <v>14</v>
      </c>
      <c r="D18" s="12" t="n">
        <v>8</v>
      </c>
      <c r="E18" s="13" t="s">
        <v>43</v>
      </c>
      <c r="F18" s="14" t="s">
        <v>68</v>
      </c>
      <c r="G18" s="15" t="s">
        <v>69</v>
      </c>
      <c r="H18" s="15"/>
    </row>
    <row r="19" customFormat="false" ht="30" hidden="false" customHeight="true" outlineLevel="0" collapsed="false">
      <c r="B19" s="10" t="s">
        <v>70</v>
      </c>
      <c r="C19" s="23" t="n">
        <f aca="false">AVERAGE('② 日次統合データ'!J4:J67)</f>
        <v>2.359375</v>
      </c>
      <c r="D19" s="24" t="n">
        <v>2.50943396226415</v>
      </c>
      <c r="E19" s="27" t="n">
        <f aca="false">C19-D19</f>
        <v>-0.150058962264151</v>
      </c>
      <c r="F19" s="26" t="s">
        <v>71</v>
      </c>
      <c r="G19" s="15" t="s">
        <v>72</v>
      </c>
      <c r="H19" s="15"/>
    </row>
    <row r="20" customFormat="false" ht="30" hidden="false" customHeight="true" outlineLevel="0" collapsed="false">
      <c r="B20" s="10" t="s">
        <v>73</v>
      </c>
      <c r="C20" s="23" t="n">
        <f aca="false">AVERAGE('② 日次統合データ'!I4:I67)</f>
        <v>2.359375</v>
      </c>
      <c r="D20" s="24" t="n">
        <v>2.58490566037736</v>
      </c>
      <c r="E20" s="27" t="n">
        <f aca="false">C20-D20</f>
        <v>-0.225530660377359</v>
      </c>
      <c r="F20" s="26" t="s">
        <v>71</v>
      </c>
      <c r="G20" s="15" t="s">
        <v>74</v>
      </c>
      <c r="H20" s="15"/>
    </row>
    <row r="21" customFormat="false" ht="30" hidden="false" customHeight="true" outlineLevel="0" collapsed="false">
      <c r="B21" s="10" t="s">
        <v>75</v>
      </c>
      <c r="C21" s="23" t="n">
        <f aca="false">AVERAGE('② 日次統合データ'!H4:H67)</f>
        <v>62.4672131147541</v>
      </c>
      <c r="D21" s="24" t="n">
        <v>61.31875</v>
      </c>
      <c r="E21" s="25" t="n">
        <f aca="false">C21-D21</f>
        <v>1.14846311475409</v>
      </c>
      <c r="F21" s="26" t="s">
        <v>76</v>
      </c>
      <c r="G21" s="15" t="s">
        <v>77</v>
      </c>
      <c r="H21" s="15"/>
    </row>
    <row r="22" customFormat="false" ht="30" hidden="false" customHeight="true" outlineLevel="0" collapsed="false">
      <c r="B22" s="10" t="s">
        <v>78</v>
      </c>
      <c r="C22" s="29" t="n">
        <f aca="false">MAX('② 日次統合データ'!H4:H67)-MIN('② 日次統合データ'!H4:H67)</f>
        <v>2.4</v>
      </c>
      <c r="D22" s="30" t="n">
        <v>1.6</v>
      </c>
      <c r="E22" s="28" t="n">
        <f aca="false">C22-D22</f>
        <v>0.799999999999998</v>
      </c>
      <c r="F22" s="26" t="s">
        <v>79</v>
      </c>
      <c r="G22" s="16" t="s">
        <v>80</v>
      </c>
      <c r="H22" s="16"/>
    </row>
    <row r="23" customFormat="false" ht="30" hidden="false" customHeight="true" outlineLevel="0" collapsed="false">
      <c r="B23" s="10" t="s">
        <v>81</v>
      </c>
      <c r="C23" s="31" t="n">
        <f aca="false">AVERAGE('② 日次統合データ'!N4:N67)</f>
        <v>914.0625</v>
      </c>
      <c r="D23" s="32" t="n">
        <v>896.22641509434</v>
      </c>
      <c r="E23" s="33" t="n">
        <f aca="false">C23-D23</f>
        <v>17.8360849056604</v>
      </c>
      <c r="F23" s="26" t="s">
        <v>82</v>
      </c>
      <c r="G23" s="15" t="s">
        <v>83</v>
      </c>
      <c r="H23" s="15"/>
    </row>
    <row r="24" customFormat="false" ht="30" hidden="false" customHeight="true" outlineLevel="0" collapsed="false">
      <c r="B24" s="10" t="s">
        <v>84</v>
      </c>
      <c r="C24" s="11" t="n">
        <f aca="false">COUNTIF('② 日次統合データ'!N4:N67,"&gt;=1000")</f>
        <v>52</v>
      </c>
      <c r="D24" s="12" t="n">
        <v>42</v>
      </c>
      <c r="E24" s="13" t="s">
        <v>43</v>
      </c>
      <c r="F24" s="14"/>
      <c r="G24" s="16" t="s">
        <v>85</v>
      </c>
      <c r="H24" s="16"/>
    </row>
    <row r="25" customFormat="false" ht="30" hidden="false" customHeight="true" outlineLevel="0" collapsed="false">
      <c r="B25" s="10" t="s">
        <v>86</v>
      </c>
      <c r="C25" s="11" t="n">
        <f aca="false">COUNTIF('② 日次統合データ'!L4:L67,"はい")</f>
        <v>36</v>
      </c>
      <c r="D25" s="12" t="n">
        <v>32</v>
      </c>
      <c r="E25" s="13" t="s">
        <v>43</v>
      </c>
      <c r="F25" s="14" t="s">
        <v>87</v>
      </c>
      <c r="G25" s="15" t="s">
        <v>88</v>
      </c>
      <c r="H25" s="15"/>
    </row>
    <row r="26" customFormat="false" ht="30" hidden="false" customHeight="true" outlineLevel="0" collapsed="false">
      <c r="B26" s="10" t="s">
        <v>89</v>
      </c>
      <c r="C26" s="34" t="n">
        <f aca="false">COUNTIFS('② 日次統合データ'!B4:B67,"&lt;&gt;休養日",'② 日次統合データ'!L4:L67,"はい")/COUNTIF('② 日次統合データ'!B4:B67,"&lt;&gt;休養日")</f>
        <v>0.692307692307692</v>
      </c>
      <c r="D26" s="35" t="n">
        <v>0.711111111111111</v>
      </c>
      <c r="E26" s="36" t="n">
        <f aca="false">C26-D26</f>
        <v>-0.0188034188034188</v>
      </c>
      <c r="F26" s="26" t="s">
        <v>90</v>
      </c>
      <c r="G26" s="16" t="s">
        <v>91</v>
      </c>
      <c r="H26" s="16"/>
    </row>
    <row r="27" customFormat="false" ht="30" hidden="false" customHeight="true" outlineLevel="0" collapsed="false">
      <c r="B27" s="10" t="s">
        <v>92</v>
      </c>
      <c r="C27" s="11" t="n">
        <f aca="false">COUNTIF(データ_食事!E4:E67,"はい")</f>
        <v>54</v>
      </c>
      <c r="D27" s="12" t="n">
        <v>35</v>
      </c>
      <c r="E27" s="13" t="s">
        <v>43</v>
      </c>
      <c r="F27" s="14" t="s">
        <v>93</v>
      </c>
      <c r="G27" s="16" t="s">
        <v>94</v>
      </c>
      <c r="H27" s="16"/>
    </row>
    <row r="28" customFormat="false" ht="30" hidden="false" customHeight="true" outlineLevel="0" collapsed="false">
      <c r="B28" s="10" t="s">
        <v>95</v>
      </c>
      <c r="C28" s="23" t="n">
        <f aca="false">'③ 食事バランス'!J70</f>
        <v>3.1875</v>
      </c>
      <c r="D28" s="24" t="n">
        <v>2.28301886792453</v>
      </c>
      <c r="E28" s="27" t="n">
        <f aca="false">C28-D28</f>
        <v>0.904481132075472</v>
      </c>
      <c r="F28" s="26" t="s">
        <v>96</v>
      </c>
      <c r="G28" s="15" t="s">
        <v>97</v>
      </c>
      <c r="H28" s="15"/>
    </row>
    <row r="29" customFormat="false" ht="30" hidden="false" customHeight="true" outlineLevel="0" collapsed="false">
      <c r="B29" s="10" t="s">
        <v>98</v>
      </c>
      <c r="C29" s="23" t="n">
        <f aca="false">COUNTIF('③ 食事バランス'!B6:E69,"○")/COUNT('③ 食事バランス'!A6:A69)</f>
        <v>0.90625</v>
      </c>
      <c r="D29" s="24" t="n">
        <v>0.679245283018868</v>
      </c>
      <c r="E29" s="27" t="n">
        <f aca="false">C29-D29</f>
        <v>0.227004716981132</v>
      </c>
      <c r="F29" s="26" t="s">
        <v>99</v>
      </c>
      <c r="G29" s="15" t="s">
        <v>100</v>
      </c>
      <c r="H29" s="15"/>
    </row>
    <row r="30" customFormat="false" ht="30" hidden="false" customHeight="true" outlineLevel="0" collapsed="false">
      <c r="B30" s="10" t="s">
        <v>101</v>
      </c>
      <c r="C30" s="23" t="n">
        <f aca="false">COUNTIF('③ 食事バランス'!F6:I69,"○")/COUNT('③ 食事バランス'!A6:A69)</f>
        <v>2.28125</v>
      </c>
      <c r="D30" s="24" t="n">
        <v>1.60377358490566</v>
      </c>
      <c r="E30" s="27" t="n">
        <f aca="false">C30-D30</f>
        <v>0.67747641509434</v>
      </c>
      <c r="F30" s="26" t="s">
        <v>102</v>
      </c>
      <c r="G30" s="15" t="s">
        <v>103</v>
      </c>
      <c r="H30" s="15"/>
    </row>
    <row r="31" customFormat="false" ht="15" hidden="false" customHeight="false" outlineLevel="0" collapsed="false">
      <c r="B31" s="37" t="s">
        <v>104</v>
      </c>
    </row>
    <row r="33" customFormat="false" ht="21.75" hidden="false" customHeight="true" outlineLevel="0" collapsed="false">
      <c r="B33" s="8" t="s">
        <v>105</v>
      </c>
      <c r="C33" s="8"/>
      <c r="D33" s="8"/>
      <c r="E33" s="8"/>
      <c r="F33" s="8"/>
      <c r="G33" s="8"/>
      <c r="H33" s="8"/>
    </row>
    <row r="34" customFormat="false" ht="19.5" hidden="false" customHeight="true" outlineLevel="0" collapsed="false">
      <c r="B34" s="38" t="s">
        <v>106</v>
      </c>
      <c r="C34" s="38"/>
      <c r="D34" s="38"/>
      <c r="E34" s="38"/>
      <c r="F34" s="38"/>
      <c r="G34" s="38"/>
      <c r="H34" s="38"/>
    </row>
    <row r="35" customFormat="false" ht="174.75" hidden="false" customHeight="true" outlineLevel="0" collapsed="false">
      <c r="B35" s="39" t="s">
        <v>107</v>
      </c>
      <c r="C35" s="39"/>
      <c r="D35" s="39"/>
      <c r="E35" s="39"/>
      <c r="F35" s="39"/>
      <c r="G35" s="39"/>
      <c r="H35" s="39"/>
    </row>
    <row r="36" customFormat="false" ht="19.5" hidden="false" customHeight="true" outlineLevel="0" collapsed="false">
      <c r="B36" s="40" t="s">
        <v>108</v>
      </c>
      <c r="C36" s="40"/>
      <c r="D36" s="40"/>
      <c r="E36" s="40"/>
      <c r="F36" s="40"/>
      <c r="G36" s="40"/>
      <c r="H36" s="40"/>
    </row>
    <row r="37" customFormat="false" ht="240" hidden="false" customHeight="true" outlineLevel="0" collapsed="false">
      <c r="B37" s="41" t="s">
        <v>109</v>
      </c>
      <c r="C37" s="41"/>
      <c r="D37" s="41"/>
      <c r="E37" s="41"/>
      <c r="F37" s="41"/>
      <c r="G37" s="41"/>
      <c r="H37" s="41"/>
    </row>
    <row r="38" customFormat="false" ht="19.5" hidden="false" customHeight="true" outlineLevel="0" collapsed="false">
      <c r="B38" s="42" t="s">
        <v>110</v>
      </c>
      <c r="C38" s="42"/>
      <c r="D38" s="42"/>
      <c r="E38" s="42"/>
      <c r="F38" s="42"/>
      <c r="G38" s="42"/>
      <c r="H38" s="42"/>
    </row>
    <row r="39" customFormat="false" ht="48" hidden="false" customHeight="true" outlineLevel="0" collapsed="false">
      <c r="B39" s="43" t="s">
        <v>111</v>
      </c>
      <c r="C39" s="43"/>
      <c r="D39" s="43"/>
      <c r="E39" s="43"/>
      <c r="F39" s="43"/>
      <c r="G39" s="43"/>
      <c r="H39" s="43"/>
    </row>
    <row r="41" customFormat="false" ht="21.75" hidden="false" customHeight="true" outlineLevel="0" collapsed="false">
      <c r="B41" s="8" t="s">
        <v>112</v>
      </c>
      <c r="C41" s="8"/>
      <c r="D41" s="8"/>
      <c r="E41" s="8"/>
      <c r="F41" s="8"/>
      <c r="G41" s="8"/>
      <c r="H41" s="8"/>
    </row>
    <row r="42" customFormat="false" ht="19.5" hidden="false" customHeight="true" outlineLevel="0" collapsed="false">
      <c r="B42" s="44" t="s">
        <v>113</v>
      </c>
      <c r="C42" s="44"/>
      <c r="D42" s="44"/>
      <c r="E42" s="44"/>
      <c r="F42" s="44"/>
      <c r="G42" s="44"/>
      <c r="H42" s="44"/>
    </row>
    <row r="43" customFormat="false" ht="49.5" hidden="false" customHeight="true" outlineLevel="0" collapsed="false">
      <c r="B43" s="45" t="s">
        <v>114</v>
      </c>
      <c r="C43" s="45"/>
      <c r="D43" s="45"/>
      <c r="E43" s="45"/>
      <c r="F43" s="45"/>
      <c r="G43" s="45"/>
      <c r="H43" s="45"/>
    </row>
    <row r="44" customFormat="false" ht="19.5" hidden="false" customHeight="true" outlineLevel="0" collapsed="false">
      <c r="B44" s="44" t="s">
        <v>115</v>
      </c>
      <c r="C44" s="44"/>
      <c r="D44" s="44"/>
      <c r="E44" s="44"/>
      <c r="F44" s="44"/>
      <c r="G44" s="44"/>
      <c r="H44" s="44"/>
    </row>
    <row r="45" customFormat="false" ht="49.5" hidden="false" customHeight="true" outlineLevel="0" collapsed="false">
      <c r="B45" s="45" t="s">
        <v>114</v>
      </c>
      <c r="C45" s="45"/>
      <c r="D45" s="45"/>
      <c r="E45" s="45"/>
      <c r="F45" s="45"/>
      <c r="G45" s="45"/>
      <c r="H45" s="45"/>
    </row>
    <row r="46" customFormat="false" ht="19.5" hidden="false" customHeight="true" outlineLevel="0" collapsed="false">
      <c r="B46" s="44" t="s">
        <v>116</v>
      </c>
      <c r="C46" s="44"/>
      <c r="D46" s="44"/>
      <c r="E46" s="44"/>
      <c r="F46" s="44"/>
      <c r="G46" s="44"/>
      <c r="H46" s="44"/>
    </row>
    <row r="47" customFormat="false" ht="49.5" hidden="false" customHeight="true" outlineLevel="0" collapsed="false">
      <c r="B47" s="45" t="s">
        <v>114</v>
      </c>
      <c r="C47" s="45"/>
      <c r="D47" s="45"/>
      <c r="E47" s="45"/>
      <c r="F47" s="45"/>
      <c r="G47" s="45"/>
      <c r="H47" s="45"/>
    </row>
  </sheetData>
  <mergeCells count="38">
    <mergeCell ref="B2:H2"/>
    <mergeCell ref="B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B33:H33"/>
    <mergeCell ref="B34:H34"/>
    <mergeCell ref="B35:H35"/>
    <mergeCell ref="B36:H36"/>
    <mergeCell ref="B37:H37"/>
    <mergeCell ref="B38:H38"/>
    <mergeCell ref="B39:H39"/>
    <mergeCell ref="B41:H41"/>
    <mergeCell ref="B42:H42"/>
    <mergeCell ref="B43:H43"/>
    <mergeCell ref="B44:H44"/>
    <mergeCell ref="B45:H45"/>
    <mergeCell ref="B46:H46"/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6" min="4" style="0" width="6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11" min="9" style="0" width="7"/>
    <col collapsed="false" customWidth="true" hidden="false" outlineLevel="0" max="13" min="12" style="0" width="6"/>
    <col collapsed="false" customWidth="true" hidden="false" outlineLevel="0" max="14" min="14" style="0" width="8"/>
    <col collapsed="false" customWidth="true" hidden="false" outlineLevel="0" max="15" min="15" style="0" width="58"/>
  </cols>
  <sheetData>
    <row r="1" customFormat="false" ht="21.75" hidden="false" customHeight="true" outlineLevel="0" collapsed="false">
      <c r="A1" s="46" t="s">
        <v>117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3" customFormat="false" ht="27.75" hidden="false" customHeight="true" outlineLevel="0" collapsed="false">
      <c r="A3" s="9" t="s">
        <v>118</v>
      </c>
      <c r="B3" s="9" t="s">
        <v>119</v>
      </c>
      <c r="C3" s="9" t="s">
        <v>120</v>
      </c>
      <c r="D3" s="47" t="s">
        <v>121</v>
      </c>
      <c r="E3" s="9" t="s">
        <v>122</v>
      </c>
      <c r="F3" s="9" t="s">
        <v>123</v>
      </c>
      <c r="G3" s="9" t="s">
        <v>124</v>
      </c>
      <c r="H3" s="9" t="s">
        <v>125</v>
      </c>
      <c r="I3" s="9" t="s">
        <v>126</v>
      </c>
      <c r="J3" s="9" t="s">
        <v>127</v>
      </c>
      <c r="K3" s="9" t="s">
        <v>128</v>
      </c>
      <c r="L3" s="9" t="s">
        <v>129</v>
      </c>
      <c r="M3" s="9" t="s">
        <v>130</v>
      </c>
      <c r="N3" s="9" t="s">
        <v>131</v>
      </c>
      <c r="O3" s="9" t="s">
        <v>132</v>
      </c>
    </row>
    <row r="4" customFormat="false" ht="18" hidden="false" customHeight="true" outlineLevel="0" collapsed="false">
      <c r="A4" s="48" t="n">
        <v>46225</v>
      </c>
      <c r="B4" s="49" t="s">
        <v>133</v>
      </c>
      <c r="C4" s="49" t="n">
        <v>60</v>
      </c>
      <c r="D4" s="50" t="n">
        <v>7</v>
      </c>
      <c r="E4" s="50" t="n">
        <v>4</v>
      </c>
      <c r="F4" s="50" t="n">
        <v>4</v>
      </c>
      <c r="G4" s="50" t="n">
        <v>3</v>
      </c>
      <c r="H4" s="51" t="n">
        <v>61.4</v>
      </c>
      <c r="I4" s="50" t="n">
        <v>1</v>
      </c>
      <c r="J4" s="50" t="n">
        <v>1</v>
      </c>
      <c r="K4" s="50" t="n">
        <v>8</v>
      </c>
      <c r="L4" s="49" t="s">
        <v>134</v>
      </c>
      <c r="M4" s="49" t="n">
        <v>3</v>
      </c>
      <c r="N4" s="49" t="n">
        <v>1000</v>
      </c>
      <c r="O4" s="16"/>
    </row>
    <row r="5" customFormat="false" ht="30" hidden="false" customHeight="true" outlineLevel="0" collapsed="false">
      <c r="A5" s="48" t="n">
        <v>46226</v>
      </c>
      <c r="B5" s="49" t="s">
        <v>133</v>
      </c>
      <c r="C5" s="49" t="n">
        <v>60</v>
      </c>
      <c r="D5" s="50" t="n">
        <v>6</v>
      </c>
      <c r="E5" s="52" t="n">
        <v>2</v>
      </c>
      <c r="F5" s="52" t="n">
        <v>2</v>
      </c>
      <c r="G5" s="52" t="n">
        <v>4</v>
      </c>
      <c r="H5" s="51" t="n">
        <v>61.3</v>
      </c>
      <c r="I5" s="50" t="n">
        <v>1</v>
      </c>
      <c r="J5" s="50" t="n">
        <v>1</v>
      </c>
      <c r="K5" s="50" t="n">
        <v>7</v>
      </c>
      <c r="L5" s="53" t="s">
        <v>135</v>
      </c>
      <c r="M5" s="49" t="n">
        <v>3</v>
      </c>
      <c r="N5" s="49" t="n">
        <v>1000</v>
      </c>
      <c r="O5" s="15" t="s">
        <v>136</v>
      </c>
    </row>
    <row r="6" customFormat="false" ht="18" hidden="false" customHeight="true" outlineLevel="0" collapsed="false">
      <c r="A6" s="48" t="n">
        <v>46227</v>
      </c>
      <c r="B6" s="54" t="s">
        <v>137</v>
      </c>
      <c r="C6" s="49" t="n">
        <v>120</v>
      </c>
      <c r="D6" s="53" t="n">
        <v>8</v>
      </c>
      <c r="E6" s="50" t="n">
        <v>4</v>
      </c>
      <c r="F6" s="50" t="n">
        <v>4</v>
      </c>
      <c r="G6" s="53" t="n">
        <v>4</v>
      </c>
      <c r="H6" s="51" t="n">
        <v>61.8</v>
      </c>
      <c r="I6" s="50" t="n">
        <v>2</v>
      </c>
      <c r="J6" s="49" t="n">
        <v>3</v>
      </c>
      <c r="K6" s="50" t="n">
        <v>7</v>
      </c>
      <c r="L6" s="49" t="s">
        <v>134</v>
      </c>
      <c r="M6" s="49" t="n">
        <v>2</v>
      </c>
      <c r="N6" s="49" t="n">
        <v>1000</v>
      </c>
      <c r="O6" s="16" t="s">
        <v>138</v>
      </c>
    </row>
    <row r="7" customFormat="false" ht="18" hidden="false" customHeight="true" outlineLevel="0" collapsed="false">
      <c r="A7" s="48" t="n">
        <v>46228</v>
      </c>
      <c r="B7" s="49" t="s">
        <v>133</v>
      </c>
      <c r="C7" s="49" t="n">
        <v>60</v>
      </c>
      <c r="D7" s="50" t="n">
        <v>6</v>
      </c>
      <c r="E7" s="50" t="n">
        <v>4</v>
      </c>
      <c r="F7" s="49" t="n">
        <v>3</v>
      </c>
      <c r="G7" s="50" t="n">
        <v>3</v>
      </c>
      <c r="H7" s="51" t="n">
        <v>61.3</v>
      </c>
      <c r="I7" s="49" t="n">
        <v>3</v>
      </c>
      <c r="J7" s="50" t="n">
        <v>2</v>
      </c>
      <c r="K7" s="50" t="n">
        <v>7</v>
      </c>
      <c r="L7" s="53" t="s">
        <v>135</v>
      </c>
      <c r="M7" s="49" t="n">
        <v>3</v>
      </c>
      <c r="N7" s="49" t="n">
        <v>1000</v>
      </c>
      <c r="O7" s="15"/>
    </row>
    <row r="8" customFormat="false" ht="18" hidden="false" customHeight="true" outlineLevel="0" collapsed="false">
      <c r="A8" s="48" t="n">
        <v>46229</v>
      </c>
      <c r="B8" s="49" t="s">
        <v>133</v>
      </c>
      <c r="C8" s="49" t="n">
        <v>60</v>
      </c>
      <c r="D8" s="50" t="n">
        <v>6</v>
      </c>
      <c r="E8" s="49" t="n">
        <v>3</v>
      </c>
      <c r="F8" s="50" t="n">
        <v>4</v>
      </c>
      <c r="G8" s="50" t="n">
        <v>3</v>
      </c>
      <c r="H8" s="51" t="n">
        <v>61.1</v>
      </c>
      <c r="I8" s="50" t="n">
        <v>2</v>
      </c>
      <c r="J8" s="49" t="n">
        <v>3</v>
      </c>
      <c r="K8" s="50" t="n">
        <v>8</v>
      </c>
      <c r="L8" s="49" t="s">
        <v>134</v>
      </c>
      <c r="M8" s="49" t="n">
        <v>2</v>
      </c>
      <c r="N8" s="49" t="n">
        <v>1000</v>
      </c>
      <c r="O8" s="15"/>
    </row>
    <row r="9" customFormat="false" ht="30" hidden="false" customHeight="true" outlineLevel="0" collapsed="false">
      <c r="A9" s="48" t="n">
        <v>46230</v>
      </c>
      <c r="B9" s="54" t="s">
        <v>137</v>
      </c>
      <c r="C9" s="49" t="n">
        <v>120</v>
      </c>
      <c r="D9" s="53" t="n">
        <v>8</v>
      </c>
      <c r="E9" s="53" t="n">
        <v>2</v>
      </c>
      <c r="F9" s="53" t="n">
        <v>2</v>
      </c>
      <c r="G9" s="53" t="n">
        <v>4</v>
      </c>
      <c r="H9" s="51" t="n">
        <v>61.8</v>
      </c>
      <c r="I9" s="50" t="n">
        <v>1</v>
      </c>
      <c r="J9" s="49" t="n">
        <v>3</v>
      </c>
      <c r="K9" s="50" t="n">
        <v>7</v>
      </c>
      <c r="L9" s="49" t="s">
        <v>134</v>
      </c>
      <c r="M9" s="49" t="n">
        <v>3</v>
      </c>
      <c r="N9" s="49" t="n">
        <v>1000</v>
      </c>
      <c r="O9" s="16" t="s">
        <v>139</v>
      </c>
    </row>
    <row r="10" customFormat="false" ht="18" hidden="false" customHeight="true" outlineLevel="0" collapsed="false">
      <c r="A10" s="48" t="n">
        <v>46231</v>
      </c>
      <c r="B10" s="49" t="s">
        <v>133</v>
      </c>
      <c r="C10" s="49" t="n">
        <v>60</v>
      </c>
      <c r="D10" s="50" t="n">
        <v>6</v>
      </c>
      <c r="E10" s="50" t="n">
        <v>4</v>
      </c>
      <c r="F10" s="50" t="n">
        <v>4</v>
      </c>
      <c r="G10" s="50" t="n">
        <v>3</v>
      </c>
      <c r="H10" s="51" t="n">
        <v>61.7</v>
      </c>
      <c r="I10" s="50" t="n">
        <v>2</v>
      </c>
      <c r="J10" s="50" t="n">
        <v>2</v>
      </c>
      <c r="K10" s="50" t="n">
        <v>7</v>
      </c>
      <c r="L10" s="49" t="s">
        <v>134</v>
      </c>
      <c r="M10" s="49" t="n">
        <v>3</v>
      </c>
      <c r="N10" s="49" t="n">
        <v>1000</v>
      </c>
      <c r="O10" s="15"/>
    </row>
    <row r="11" customFormat="false" ht="18" hidden="false" customHeight="true" outlineLevel="0" collapsed="false">
      <c r="A11" s="48" t="n">
        <v>46232</v>
      </c>
      <c r="B11" s="49" t="s">
        <v>133</v>
      </c>
      <c r="C11" s="49" t="n">
        <v>60</v>
      </c>
      <c r="D11" s="49" t="n">
        <v>5</v>
      </c>
      <c r="E11" s="50" t="n">
        <v>4</v>
      </c>
      <c r="F11" s="50" t="n">
        <v>4</v>
      </c>
      <c r="G11" s="50" t="n">
        <v>3</v>
      </c>
      <c r="H11" s="51" t="n">
        <v>62.4</v>
      </c>
      <c r="I11" s="49" t="n">
        <v>3</v>
      </c>
      <c r="J11" s="50" t="n">
        <v>2</v>
      </c>
      <c r="K11" s="50" t="n">
        <v>7</v>
      </c>
      <c r="L11" s="49" t="s">
        <v>134</v>
      </c>
      <c r="M11" s="49" t="n">
        <v>3</v>
      </c>
      <c r="N11" s="49" t="n">
        <v>1000</v>
      </c>
      <c r="O11" s="15"/>
    </row>
    <row r="12" customFormat="false" ht="18" hidden="false" customHeight="true" outlineLevel="0" collapsed="false">
      <c r="A12" s="48" t="n">
        <v>46233</v>
      </c>
      <c r="B12" s="49" t="s">
        <v>133</v>
      </c>
      <c r="C12" s="49" t="n">
        <v>120</v>
      </c>
      <c r="D12" s="50" t="n">
        <v>7</v>
      </c>
      <c r="E12" s="49" t="n">
        <v>3</v>
      </c>
      <c r="F12" s="50" t="n">
        <v>4</v>
      </c>
      <c r="G12" s="50" t="n">
        <v>3</v>
      </c>
      <c r="H12" s="51" t="n">
        <v>62</v>
      </c>
      <c r="I12" s="49" t="n">
        <v>3</v>
      </c>
      <c r="J12" s="50" t="n">
        <v>1</v>
      </c>
      <c r="K12" s="50" t="n">
        <v>7</v>
      </c>
      <c r="L12" s="49" t="s">
        <v>134</v>
      </c>
      <c r="M12" s="49" t="n">
        <v>4</v>
      </c>
      <c r="N12" s="49" t="n">
        <v>1000</v>
      </c>
      <c r="O12" s="15"/>
    </row>
    <row r="13" customFormat="false" ht="18" hidden="false" customHeight="true" outlineLevel="0" collapsed="false">
      <c r="A13" s="48" t="n">
        <v>46234</v>
      </c>
      <c r="B13" s="49" t="s">
        <v>133</v>
      </c>
      <c r="C13" s="49" t="n">
        <v>60</v>
      </c>
      <c r="D13" s="50" t="n">
        <v>7</v>
      </c>
      <c r="E13" s="53" t="n">
        <v>2</v>
      </c>
      <c r="F13" s="49" t="n">
        <v>3</v>
      </c>
      <c r="G13" s="53" t="n">
        <v>4</v>
      </c>
      <c r="H13" s="51" t="n">
        <v>62.1</v>
      </c>
      <c r="I13" s="50" t="n">
        <v>2</v>
      </c>
      <c r="J13" s="50" t="n">
        <v>1</v>
      </c>
      <c r="K13" s="53" t="n">
        <v>6</v>
      </c>
      <c r="L13" s="53" t="s">
        <v>135</v>
      </c>
      <c r="M13" s="49" t="n">
        <v>2</v>
      </c>
      <c r="N13" s="49" t="n">
        <v>1000</v>
      </c>
      <c r="O13" s="15" t="s">
        <v>140</v>
      </c>
    </row>
    <row r="14" customFormat="false" ht="18" hidden="false" customHeight="true" outlineLevel="0" collapsed="false">
      <c r="A14" s="48" t="n">
        <v>46235</v>
      </c>
      <c r="B14" s="49" t="s">
        <v>133</v>
      </c>
      <c r="C14" s="49" t="n">
        <v>120</v>
      </c>
      <c r="D14" s="50" t="n">
        <v>6</v>
      </c>
      <c r="E14" s="50" t="n">
        <v>4</v>
      </c>
      <c r="F14" s="50" t="n">
        <v>4</v>
      </c>
      <c r="G14" s="50" t="n">
        <v>3</v>
      </c>
      <c r="H14" s="51" t="n">
        <v>61.4</v>
      </c>
      <c r="I14" s="50" t="n">
        <v>2</v>
      </c>
      <c r="J14" s="50" t="n">
        <v>2</v>
      </c>
      <c r="K14" s="50" t="n">
        <v>7</v>
      </c>
      <c r="L14" s="49" t="s">
        <v>134</v>
      </c>
      <c r="M14" s="49" t="n">
        <v>2</v>
      </c>
      <c r="N14" s="49" t="n">
        <v>1000</v>
      </c>
      <c r="O14" s="15"/>
    </row>
    <row r="15" customFormat="false" ht="18" hidden="false" customHeight="true" outlineLevel="0" collapsed="false">
      <c r="A15" s="48" t="n">
        <v>46236</v>
      </c>
      <c r="B15" s="49" t="s">
        <v>133</v>
      </c>
      <c r="C15" s="49" t="n">
        <v>60</v>
      </c>
      <c r="D15" s="50" t="n">
        <v>7</v>
      </c>
      <c r="E15" s="50" t="n">
        <v>4</v>
      </c>
      <c r="F15" s="50" t="n">
        <v>4</v>
      </c>
      <c r="G15" s="50" t="n">
        <v>3</v>
      </c>
      <c r="H15" s="51" t="n">
        <v>62.2</v>
      </c>
      <c r="I15" s="50" t="n">
        <v>2</v>
      </c>
      <c r="J15" s="50" t="n">
        <v>2</v>
      </c>
      <c r="K15" s="55" t="n">
        <v>5</v>
      </c>
      <c r="L15" s="49" t="s">
        <v>134</v>
      </c>
      <c r="M15" s="49" t="n">
        <v>3</v>
      </c>
      <c r="N15" s="49" t="n">
        <v>1000</v>
      </c>
      <c r="O15" s="15"/>
    </row>
    <row r="16" customFormat="false" ht="18" hidden="false" customHeight="true" outlineLevel="0" collapsed="false">
      <c r="A16" s="48" t="n">
        <v>46238</v>
      </c>
      <c r="B16" s="49" t="s">
        <v>133</v>
      </c>
      <c r="C16" s="49" t="n">
        <v>120</v>
      </c>
      <c r="D16" s="50" t="n">
        <v>7</v>
      </c>
      <c r="E16" s="53" t="n">
        <v>2</v>
      </c>
      <c r="F16" s="53" t="n">
        <v>2</v>
      </c>
      <c r="G16" s="53" t="n">
        <v>4</v>
      </c>
      <c r="H16" s="51" t="n">
        <v>62.4</v>
      </c>
      <c r="I16" s="53" t="n">
        <v>4</v>
      </c>
      <c r="J16" s="53" t="n">
        <v>4</v>
      </c>
      <c r="K16" s="55" t="n">
        <v>5</v>
      </c>
      <c r="L16" s="49" t="s">
        <v>134</v>
      </c>
      <c r="M16" s="49" t="n">
        <v>2</v>
      </c>
      <c r="N16" s="49" t="n">
        <v>1500</v>
      </c>
      <c r="O16" s="15" t="s">
        <v>141</v>
      </c>
    </row>
    <row r="17" customFormat="false" ht="18" hidden="false" customHeight="true" outlineLevel="0" collapsed="false">
      <c r="A17" s="48" t="n">
        <v>46245</v>
      </c>
      <c r="B17" s="49" t="s">
        <v>133</v>
      </c>
      <c r="C17" s="49" t="n">
        <v>60</v>
      </c>
      <c r="D17" s="49" t="n">
        <v>3</v>
      </c>
      <c r="E17" s="50" t="n">
        <v>4</v>
      </c>
      <c r="F17" s="50" t="n">
        <v>4</v>
      </c>
      <c r="G17" s="50" t="n">
        <v>2</v>
      </c>
      <c r="H17" s="51" t="n">
        <v>62.4</v>
      </c>
      <c r="I17" s="53" t="n">
        <v>4</v>
      </c>
      <c r="J17" s="53" t="n">
        <v>5</v>
      </c>
      <c r="K17" s="55" t="n">
        <v>3</v>
      </c>
      <c r="L17" s="49" t="s">
        <v>134</v>
      </c>
      <c r="M17" s="49" t="n">
        <v>4</v>
      </c>
      <c r="N17" s="49" t="n">
        <v>1000</v>
      </c>
      <c r="O17" s="15"/>
    </row>
    <row r="18" customFormat="false" ht="18" hidden="false" customHeight="true" outlineLevel="0" collapsed="false">
      <c r="A18" s="56" t="n">
        <v>46246</v>
      </c>
      <c r="B18" s="57" t="s">
        <v>142</v>
      </c>
      <c r="C18" s="57" t="n">
        <v>0</v>
      </c>
      <c r="D18" s="57"/>
      <c r="E18" s="57"/>
      <c r="F18" s="57"/>
      <c r="G18" s="57"/>
      <c r="H18" s="58" t="n">
        <v>63</v>
      </c>
      <c r="I18" s="57" t="n">
        <v>3</v>
      </c>
      <c r="J18" s="57" t="n">
        <v>3</v>
      </c>
      <c r="K18" s="55" t="n">
        <v>5</v>
      </c>
      <c r="L18" s="57" t="s">
        <v>135</v>
      </c>
      <c r="M18" s="57" t="n">
        <v>2</v>
      </c>
      <c r="N18" s="57" t="n">
        <v>1000</v>
      </c>
      <c r="O18" s="59"/>
    </row>
    <row r="19" customFormat="false" ht="18" hidden="false" customHeight="true" outlineLevel="0" collapsed="false">
      <c r="A19" s="56" t="n">
        <v>46247</v>
      </c>
      <c r="B19" s="57" t="s">
        <v>142</v>
      </c>
      <c r="C19" s="57" t="n">
        <v>0</v>
      </c>
      <c r="D19" s="57"/>
      <c r="E19" s="57"/>
      <c r="F19" s="57"/>
      <c r="G19" s="57"/>
      <c r="H19" s="58" t="n">
        <v>62.2</v>
      </c>
      <c r="I19" s="57" t="n">
        <v>3</v>
      </c>
      <c r="J19" s="57" t="n">
        <v>3</v>
      </c>
      <c r="K19" s="50" t="n">
        <v>7</v>
      </c>
      <c r="L19" s="57" t="s">
        <v>135</v>
      </c>
      <c r="M19" s="57" t="n">
        <v>4</v>
      </c>
      <c r="N19" s="53" t="n">
        <v>500</v>
      </c>
      <c r="O19" s="59"/>
    </row>
    <row r="20" customFormat="false" ht="18" hidden="false" customHeight="true" outlineLevel="0" collapsed="false">
      <c r="A20" s="48" t="n">
        <v>46248</v>
      </c>
      <c r="B20" s="49" t="s">
        <v>133</v>
      </c>
      <c r="C20" s="49" t="n">
        <v>180</v>
      </c>
      <c r="D20" s="50" t="n">
        <v>6</v>
      </c>
      <c r="E20" s="50" t="n">
        <v>4</v>
      </c>
      <c r="F20" s="50" t="n">
        <v>4</v>
      </c>
      <c r="G20" s="50" t="n">
        <v>3</v>
      </c>
      <c r="H20" s="51" t="n">
        <v>62.7</v>
      </c>
      <c r="I20" s="50" t="n">
        <v>2</v>
      </c>
      <c r="J20" s="50" t="n">
        <v>2</v>
      </c>
      <c r="K20" s="50" t="n">
        <v>7</v>
      </c>
      <c r="L20" s="53" t="s">
        <v>135</v>
      </c>
      <c r="M20" s="49" t="n">
        <v>2</v>
      </c>
      <c r="N20" s="49" t="n">
        <v>1000</v>
      </c>
      <c r="O20" s="15"/>
    </row>
    <row r="21" customFormat="false" ht="18" hidden="false" customHeight="true" outlineLevel="0" collapsed="false">
      <c r="A21" s="48" t="n">
        <v>46249</v>
      </c>
      <c r="B21" s="49" t="s">
        <v>133</v>
      </c>
      <c r="C21" s="49" t="n">
        <v>60</v>
      </c>
      <c r="D21" s="49" t="n">
        <v>5</v>
      </c>
      <c r="E21" s="50" t="n">
        <v>4</v>
      </c>
      <c r="F21" s="50" t="n">
        <v>4</v>
      </c>
      <c r="G21" s="50" t="n">
        <v>3</v>
      </c>
      <c r="H21" s="51" t="n">
        <v>62</v>
      </c>
      <c r="I21" s="50" t="n">
        <v>2</v>
      </c>
      <c r="J21" s="50" t="n">
        <v>2</v>
      </c>
      <c r="K21" s="50" t="n">
        <v>7</v>
      </c>
      <c r="L21" s="49" t="s">
        <v>134</v>
      </c>
      <c r="M21" s="49" t="n">
        <v>3</v>
      </c>
      <c r="N21" s="49" t="n">
        <v>1000</v>
      </c>
      <c r="O21" s="15"/>
    </row>
    <row r="22" customFormat="false" ht="18" hidden="false" customHeight="true" outlineLevel="0" collapsed="false">
      <c r="A22" s="48" t="n">
        <v>46250</v>
      </c>
      <c r="B22" s="49" t="s">
        <v>133</v>
      </c>
      <c r="C22" s="49" t="n">
        <v>180</v>
      </c>
      <c r="D22" s="50" t="n">
        <v>7</v>
      </c>
      <c r="E22" s="50" t="n">
        <v>4</v>
      </c>
      <c r="F22" s="50" t="n">
        <v>4</v>
      </c>
      <c r="G22" s="50" t="n">
        <v>3</v>
      </c>
      <c r="H22" s="51" t="n">
        <v>62.2</v>
      </c>
      <c r="I22" s="49" t="n">
        <v>3</v>
      </c>
      <c r="J22" s="49" t="n">
        <v>3</v>
      </c>
      <c r="K22" s="50" t="n">
        <v>7</v>
      </c>
      <c r="L22" s="53" t="s">
        <v>135</v>
      </c>
      <c r="M22" s="49" t="n">
        <v>4</v>
      </c>
      <c r="N22" s="49" t="n">
        <v>1000</v>
      </c>
      <c r="O22" s="15"/>
    </row>
    <row r="23" customFormat="false" ht="18" hidden="false" customHeight="true" outlineLevel="0" collapsed="false">
      <c r="A23" s="48" t="n">
        <v>46251</v>
      </c>
      <c r="B23" s="49" t="s">
        <v>133</v>
      </c>
      <c r="C23" s="49" t="n">
        <v>120</v>
      </c>
      <c r="D23" s="50" t="n">
        <v>7</v>
      </c>
      <c r="E23" s="50" t="n">
        <v>4</v>
      </c>
      <c r="F23" s="50" t="n">
        <v>4</v>
      </c>
      <c r="G23" s="50" t="n">
        <v>3</v>
      </c>
      <c r="H23" s="51" t="n">
        <v>62.9</v>
      </c>
      <c r="I23" s="50" t="n">
        <v>2</v>
      </c>
      <c r="J23" s="50" t="n">
        <v>2</v>
      </c>
      <c r="K23" s="50" t="n">
        <v>7</v>
      </c>
      <c r="L23" s="49" t="s">
        <v>134</v>
      </c>
      <c r="M23" s="49" t="n">
        <v>2</v>
      </c>
      <c r="N23" s="49" t="n">
        <v>1000</v>
      </c>
      <c r="O23" s="15"/>
    </row>
    <row r="24" customFormat="false" ht="18" hidden="false" customHeight="true" outlineLevel="0" collapsed="false">
      <c r="A24" s="48" t="n">
        <v>46252</v>
      </c>
      <c r="B24" s="49" t="s">
        <v>133</v>
      </c>
      <c r="C24" s="49" t="n">
        <v>90</v>
      </c>
      <c r="D24" s="50" t="n">
        <v>7</v>
      </c>
      <c r="E24" s="49" t="n">
        <v>3</v>
      </c>
      <c r="F24" s="50" t="n">
        <v>4</v>
      </c>
      <c r="G24" s="53" t="n">
        <v>4</v>
      </c>
      <c r="H24" s="51"/>
      <c r="I24" s="50" t="n">
        <v>2</v>
      </c>
      <c r="J24" s="50" t="n">
        <v>2</v>
      </c>
      <c r="K24" s="50" t="n">
        <v>7</v>
      </c>
      <c r="L24" s="53" t="s">
        <v>135</v>
      </c>
      <c r="M24" s="49" t="n">
        <v>3</v>
      </c>
      <c r="N24" s="49" t="n">
        <v>1000</v>
      </c>
      <c r="O24" s="15"/>
    </row>
    <row r="25" customFormat="false" ht="18" hidden="false" customHeight="true" outlineLevel="0" collapsed="false">
      <c r="A25" s="48" t="n">
        <v>46254</v>
      </c>
      <c r="B25" s="49" t="s">
        <v>133</v>
      </c>
      <c r="C25" s="49" t="n">
        <v>120</v>
      </c>
      <c r="D25" s="50" t="n">
        <v>7</v>
      </c>
      <c r="E25" s="50" t="n">
        <v>4</v>
      </c>
      <c r="F25" s="49" t="n">
        <v>3</v>
      </c>
      <c r="G25" s="53" t="n">
        <v>4</v>
      </c>
      <c r="H25" s="51" t="n">
        <v>62.4</v>
      </c>
      <c r="I25" s="50" t="n">
        <v>2</v>
      </c>
      <c r="J25" s="50" t="n">
        <v>1</v>
      </c>
      <c r="K25" s="50" t="n">
        <v>7</v>
      </c>
      <c r="L25" s="49" t="s">
        <v>134</v>
      </c>
      <c r="M25" s="49" t="n">
        <v>1</v>
      </c>
      <c r="N25" s="49" t="n">
        <v>1000</v>
      </c>
      <c r="O25" s="15" t="s">
        <v>143</v>
      </c>
    </row>
    <row r="26" customFormat="false" ht="30" hidden="false" customHeight="true" outlineLevel="0" collapsed="false">
      <c r="A26" s="48" t="n">
        <v>46256</v>
      </c>
      <c r="B26" s="49" t="s">
        <v>133</v>
      </c>
      <c r="C26" s="49" t="n">
        <v>60</v>
      </c>
      <c r="D26" s="53" t="n">
        <v>10</v>
      </c>
      <c r="E26" s="49" t="n">
        <v>3</v>
      </c>
      <c r="F26" s="49" t="n">
        <v>3</v>
      </c>
      <c r="G26" s="50" t="n">
        <v>3</v>
      </c>
      <c r="H26" s="51" t="n">
        <v>62.8</v>
      </c>
      <c r="I26" s="50" t="n">
        <v>2</v>
      </c>
      <c r="J26" s="49" t="n">
        <v>3</v>
      </c>
      <c r="K26" s="53" t="n">
        <v>6</v>
      </c>
      <c r="L26" s="49" t="s">
        <v>134</v>
      </c>
      <c r="M26" s="49" t="n">
        <v>4</v>
      </c>
      <c r="N26" s="49" t="n">
        <v>1000</v>
      </c>
      <c r="O26" s="15" t="s">
        <v>144</v>
      </c>
    </row>
    <row r="27" customFormat="false" ht="18" hidden="false" customHeight="true" outlineLevel="0" collapsed="false">
      <c r="A27" s="56" t="n">
        <v>46257</v>
      </c>
      <c r="B27" s="57" t="s">
        <v>142</v>
      </c>
      <c r="C27" s="57" t="n">
        <v>0</v>
      </c>
      <c r="D27" s="57"/>
      <c r="E27" s="57"/>
      <c r="F27" s="57"/>
      <c r="G27" s="57"/>
      <c r="H27" s="58" t="n">
        <v>62.2</v>
      </c>
      <c r="I27" s="57" t="n">
        <v>3</v>
      </c>
      <c r="J27" s="53" t="n">
        <v>4</v>
      </c>
      <c r="K27" s="55" t="n">
        <v>5</v>
      </c>
      <c r="L27" s="57" t="s">
        <v>135</v>
      </c>
      <c r="M27" s="57" t="n">
        <v>4</v>
      </c>
      <c r="N27" s="53" t="n">
        <v>500</v>
      </c>
      <c r="O27" s="59"/>
    </row>
    <row r="28" customFormat="false" ht="18" hidden="false" customHeight="true" outlineLevel="0" collapsed="false">
      <c r="A28" s="56" t="n">
        <v>46258</v>
      </c>
      <c r="B28" s="57" t="s">
        <v>142</v>
      </c>
      <c r="C28" s="57" t="n">
        <v>0</v>
      </c>
      <c r="D28" s="57"/>
      <c r="E28" s="57"/>
      <c r="F28" s="57"/>
      <c r="G28" s="57"/>
      <c r="H28" s="58" t="n">
        <v>63.2</v>
      </c>
      <c r="I28" s="50" t="n">
        <v>2</v>
      </c>
      <c r="J28" s="50" t="n">
        <v>2</v>
      </c>
      <c r="K28" s="53" t="n">
        <v>6</v>
      </c>
      <c r="L28" s="57" t="s">
        <v>135</v>
      </c>
      <c r="M28" s="57" t="n">
        <v>3</v>
      </c>
      <c r="N28" s="57" t="n">
        <v>1000</v>
      </c>
      <c r="O28" s="59"/>
    </row>
    <row r="29" customFormat="false" ht="18" hidden="false" customHeight="true" outlineLevel="0" collapsed="false">
      <c r="A29" s="48" t="n">
        <v>46259</v>
      </c>
      <c r="B29" s="49" t="s">
        <v>133</v>
      </c>
      <c r="C29" s="49" t="n">
        <v>180</v>
      </c>
      <c r="D29" s="50" t="n">
        <v>7</v>
      </c>
      <c r="E29" s="50" t="n">
        <v>4</v>
      </c>
      <c r="F29" s="49" t="n">
        <v>3</v>
      </c>
      <c r="G29" s="53" t="n">
        <v>4</v>
      </c>
      <c r="H29" s="51" t="n">
        <v>63.4</v>
      </c>
      <c r="I29" s="50" t="n">
        <v>2</v>
      </c>
      <c r="J29" s="50" t="n">
        <v>2</v>
      </c>
      <c r="K29" s="50" t="n">
        <v>7</v>
      </c>
      <c r="L29" s="49" t="s">
        <v>134</v>
      </c>
      <c r="M29" s="49" t="n">
        <v>3</v>
      </c>
      <c r="N29" s="49" t="n">
        <v>1000</v>
      </c>
      <c r="O29" s="15"/>
    </row>
    <row r="30" customFormat="false" ht="18" hidden="false" customHeight="true" outlineLevel="0" collapsed="false">
      <c r="A30" s="48" t="n">
        <v>46260</v>
      </c>
      <c r="B30" s="49" t="s">
        <v>133</v>
      </c>
      <c r="C30" s="49" t="n">
        <v>120</v>
      </c>
      <c r="D30" s="50" t="n">
        <v>6</v>
      </c>
      <c r="E30" s="50" t="n">
        <v>4</v>
      </c>
      <c r="F30" s="49" t="n">
        <v>3</v>
      </c>
      <c r="G30" s="50" t="n">
        <v>3</v>
      </c>
      <c r="H30" s="51" t="n">
        <v>63.2</v>
      </c>
      <c r="I30" s="50" t="n">
        <v>2</v>
      </c>
      <c r="J30" s="50" t="n">
        <v>1</v>
      </c>
      <c r="K30" s="50" t="n">
        <v>7</v>
      </c>
      <c r="L30" s="49" t="s">
        <v>134</v>
      </c>
      <c r="M30" s="49" t="n">
        <v>3</v>
      </c>
      <c r="N30" s="49" t="n">
        <v>1000</v>
      </c>
      <c r="O30" s="15"/>
    </row>
    <row r="31" customFormat="false" ht="18" hidden="false" customHeight="true" outlineLevel="0" collapsed="false">
      <c r="A31" s="48" t="n">
        <v>46261</v>
      </c>
      <c r="B31" s="49" t="s">
        <v>133</v>
      </c>
      <c r="C31" s="49" t="n">
        <v>120</v>
      </c>
      <c r="D31" s="50" t="n">
        <v>7</v>
      </c>
      <c r="E31" s="50" t="n">
        <v>4</v>
      </c>
      <c r="F31" s="49" t="n">
        <v>3</v>
      </c>
      <c r="G31" s="50" t="n">
        <v>3</v>
      </c>
      <c r="H31" s="51" t="n">
        <v>63.4</v>
      </c>
      <c r="I31" s="50" t="n">
        <v>2</v>
      </c>
      <c r="J31" s="49" t="n">
        <v>3</v>
      </c>
      <c r="K31" s="50" t="n">
        <v>7</v>
      </c>
      <c r="L31" s="49" t="s">
        <v>134</v>
      </c>
      <c r="M31" s="49" t="n">
        <v>3</v>
      </c>
      <c r="N31" s="53" t="n">
        <v>500</v>
      </c>
      <c r="O31" s="15"/>
    </row>
    <row r="32" customFormat="false" ht="18" hidden="false" customHeight="true" outlineLevel="0" collapsed="false">
      <c r="A32" s="48" t="n">
        <v>46262</v>
      </c>
      <c r="B32" s="49" t="s">
        <v>133</v>
      </c>
      <c r="C32" s="49" t="n">
        <v>60</v>
      </c>
      <c r="D32" s="49" t="n">
        <v>5</v>
      </c>
      <c r="E32" s="50" t="n">
        <v>4</v>
      </c>
      <c r="F32" s="50" t="n">
        <v>4</v>
      </c>
      <c r="G32" s="50" t="n">
        <v>2</v>
      </c>
      <c r="H32" s="51" t="n">
        <v>62.8</v>
      </c>
      <c r="I32" s="50" t="n">
        <v>2</v>
      </c>
      <c r="J32" s="50" t="n">
        <v>1</v>
      </c>
      <c r="K32" s="50" t="n">
        <v>7</v>
      </c>
      <c r="L32" s="53" t="s">
        <v>135</v>
      </c>
      <c r="M32" s="49" t="n">
        <v>3</v>
      </c>
      <c r="N32" s="49" t="n">
        <v>1000</v>
      </c>
      <c r="O32" s="15"/>
    </row>
    <row r="33" customFormat="false" ht="18" hidden="false" customHeight="true" outlineLevel="0" collapsed="false">
      <c r="A33" s="48" t="n">
        <v>46263</v>
      </c>
      <c r="B33" s="49" t="s">
        <v>133</v>
      </c>
      <c r="C33" s="49" t="n">
        <v>60</v>
      </c>
      <c r="D33" s="49" t="n">
        <v>5</v>
      </c>
      <c r="E33" s="49" t="n">
        <v>3</v>
      </c>
      <c r="F33" s="49" t="n">
        <v>3</v>
      </c>
      <c r="G33" s="50" t="n">
        <v>3</v>
      </c>
      <c r="H33" s="51" t="n">
        <v>62.8</v>
      </c>
      <c r="I33" s="50" t="n">
        <v>2</v>
      </c>
      <c r="J33" s="50" t="n">
        <v>2</v>
      </c>
      <c r="K33" s="50" t="n">
        <v>7</v>
      </c>
      <c r="L33" s="49" t="s">
        <v>134</v>
      </c>
      <c r="M33" s="49" t="n">
        <v>3</v>
      </c>
      <c r="N33" s="49" t="n">
        <v>1000</v>
      </c>
      <c r="O33" s="15"/>
    </row>
    <row r="34" customFormat="false" ht="18" hidden="false" customHeight="true" outlineLevel="0" collapsed="false">
      <c r="A34" s="48" t="n">
        <v>46264</v>
      </c>
      <c r="B34" s="49" t="s">
        <v>133</v>
      </c>
      <c r="C34" s="49" t="n">
        <v>60</v>
      </c>
      <c r="D34" s="50" t="n">
        <v>7</v>
      </c>
      <c r="E34" s="50" t="n">
        <v>4</v>
      </c>
      <c r="F34" s="50" t="n">
        <v>4</v>
      </c>
      <c r="G34" s="50" t="n">
        <v>3</v>
      </c>
      <c r="H34" s="51" t="n">
        <v>62.6</v>
      </c>
      <c r="I34" s="49" t="n">
        <v>3</v>
      </c>
      <c r="J34" s="49" t="n">
        <v>3</v>
      </c>
      <c r="K34" s="50" t="n">
        <v>7</v>
      </c>
      <c r="L34" s="49" t="s">
        <v>134</v>
      </c>
      <c r="M34" s="49" t="n">
        <v>3</v>
      </c>
      <c r="N34" s="49" t="n">
        <v>1000</v>
      </c>
      <c r="O34" s="15"/>
    </row>
    <row r="35" customFormat="false" ht="18" hidden="false" customHeight="true" outlineLevel="0" collapsed="false">
      <c r="A35" s="48" t="n">
        <v>46265</v>
      </c>
      <c r="B35" s="49" t="s">
        <v>133</v>
      </c>
      <c r="C35" s="49" t="n">
        <v>60</v>
      </c>
      <c r="D35" s="50" t="n">
        <v>6</v>
      </c>
      <c r="E35" s="50" t="n">
        <v>4</v>
      </c>
      <c r="F35" s="50" t="n">
        <v>4</v>
      </c>
      <c r="G35" s="50" t="n">
        <v>3</v>
      </c>
      <c r="H35" s="51" t="n">
        <v>62.9</v>
      </c>
      <c r="I35" s="49" t="n">
        <v>3</v>
      </c>
      <c r="J35" s="50" t="n">
        <v>1</v>
      </c>
      <c r="K35" s="50" t="n">
        <v>7</v>
      </c>
      <c r="L35" s="49" t="s">
        <v>134</v>
      </c>
      <c r="M35" s="49" t="n">
        <v>2</v>
      </c>
      <c r="N35" s="49" t="n">
        <v>1000</v>
      </c>
      <c r="O35" s="15"/>
    </row>
    <row r="36" customFormat="false" ht="18" hidden="false" customHeight="true" outlineLevel="0" collapsed="false">
      <c r="A36" s="48" t="n">
        <v>46266</v>
      </c>
      <c r="B36" s="49" t="s">
        <v>133</v>
      </c>
      <c r="C36" s="49" t="n">
        <v>60</v>
      </c>
      <c r="D36" s="49" t="n">
        <v>5</v>
      </c>
      <c r="E36" s="49" t="n">
        <v>3</v>
      </c>
      <c r="F36" s="50" t="n">
        <v>4</v>
      </c>
      <c r="G36" s="50" t="n">
        <v>3</v>
      </c>
      <c r="H36" s="51" t="n">
        <v>63</v>
      </c>
      <c r="I36" s="50" t="n">
        <v>2</v>
      </c>
      <c r="J36" s="50" t="n">
        <v>2</v>
      </c>
      <c r="K36" s="50" t="n">
        <v>7</v>
      </c>
      <c r="L36" s="49" t="s">
        <v>134</v>
      </c>
      <c r="M36" s="49" t="n">
        <v>2</v>
      </c>
      <c r="N36" s="53" t="n">
        <v>500</v>
      </c>
      <c r="O36" s="15"/>
    </row>
    <row r="37" customFormat="false" ht="18" hidden="false" customHeight="true" outlineLevel="0" collapsed="false">
      <c r="A37" s="48" t="n">
        <v>46267</v>
      </c>
      <c r="B37" s="49" t="s">
        <v>133</v>
      </c>
      <c r="C37" s="49" t="n">
        <v>60</v>
      </c>
      <c r="D37" s="49" t="n">
        <v>5</v>
      </c>
      <c r="E37" s="50" t="n">
        <v>4</v>
      </c>
      <c r="F37" s="50" t="n">
        <v>4</v>
      </c>
      <c r="G37" s="50" t="n">
        <v>3</v>
      </c>
      <c r="H37" s="51" t="n">
        <v>62.4</v>
      </c>
      <c r="I37" s="49" t="n">
        <v>3</v>
      </c>
      <c r="J37" s="50" t="n">
        <v>2</v>
      </c>
      <c r="K37" s="50" t="n">
        <v>7</v>
      </c>
      <c r="L37" s="49" t="s">
        <v>134</v>
      </c>
      <c r="M37" s="49" t="n">
        <v>3</v>
      </c>
      <c r="N37" s="49" t="n">
        <v>1000</v>
      </c>
      <c r="O37" s="15"/>
    </row>
    <row r="38" customFormat="false" ht="18" hidden="false" customHeight="true" outlineLevel="0" collapsed="false">
      <c r="A38" s="48" t="n">
        <v>46268</v>
      </c>
      <c r="B38" s="54" t="s">
        <v>137</v>
      </c>
      <c r="C38" s="49" t="n">
        <v>120</v>
      </c>
      <c r="D38" s="53" t="n">
        <v>8</v>
      </c>
      <c r="E38" s="49" t="n">
        <v>3</v>
      </c>
      <c r="F38" s="49" t="n">
        <v>3</v>
      </c>
      <c r="G38" s="53" t="n">
        <v>4</v>
      </c>
      <c r="H38" s="51" t="n">
        <v>63</v>
      </c>
      <c r="I38" s="50" t="n">
        <v>2</v>
      </c>
      <c r="J38" s="50" t="n">
        <v>2</v>
      </c>
      <c r="K38" s="50" t="n">
        <v>7</v>
      </c>
      <c r="L38" s="49" t="s">
        <v>134</v>
      </c>
      <c r="M38" s="49" t="n">
        <v>3</v>
      </c>
      <c r="N38" s="49" t="n">
        <v>1000</v>
      </c>
      <c r="O38" s="15"/>
    </row>
    <row r="39" customFormat="false" ht="18" hidden="false" customHeight="true" outlineLevel="0" collapsed="false">
      <c r="A39" s="48" t="n">
        <v>46269</v>
      </c>
      <c r="B39" s="49" t="s">
        <v>133</v>
      </c>
      <c r="C39" s="49" t="n">
        <v>120</v>
      </c>
      <c r="D39" s="53" t="n">
        <v>8</v>
      </c>
      <c r="E39" s="50" t="n">
        <v>4</v>
      </c>
      <c r="F39" s="49" t="n">
        <v>3</v>
      </c>
      <c r="G39" s="50" t="n">
        <v>3</v>
      </c>
      <c r="H39" s="51" t="n">
        <v>62.1</v>
      </c>
      <c r="I39" s="49" t="n">
        <v>3</v>
      </c>
      <c r="J39" s="49" t="n">
        <v>3</v>
      </c>
      <c r="K39" s="50" t="n">
        <v>7</v>
      </c>
      <c r="L39" s="49" t="s">
        <v>134</v>
      </c>
      <c r="M39" s="49" t="n">
        <v>3</v>
      </c>
      <c r="N39" s="49" t="n">
        <v>1000</v>
      </c>
      <c r="O39" s="15"/>
    </row>
    <row r="40" customFormat="false" ht="18" hidden="false" customHeight="true" outlineLevel="0" collapsed="false">
      <c r="A40" s="48" t="n">
        <v>46270</v>
      </c>
      <c r="B40" s="49" t="s">
        <v>133</v>
      </c>
      <c r="C40" s="49" t="n">
        <v>120</v>
      </c>
      <c r="D40" s="50" t="n">
        <v>6</v>
      </c>
      <c r="E40" s="49" t="n">
        <v>3</v>
      </c>
      <c r="F40" s="53" t="n">
        <v>2</v>
      </c>
      <c r="G40" s="50" t="n">
        <v>3</v>
      </c>
      <c r="H40" s="51" t="n">
        <v>62.8</v>
      </c>
      <c r="I40" s="49" t="n">
        <v>3</v>
      </c>
      <c r="J40" s="49" t="n">
        <v>3</v>
      </c>
      <c r="K40" s="53" t="n">
        <v>6</v>
      </c>
      <c r="L40" s="49" t="s">
        <v>134</v>
      </c>
      <c r="M40" s="49" t="n">
        <v>3</v>
      </c>
      <c r="N40" s="49" t="n">
        <v>1000</v>
      </c>
      <c r="O40" s="15"/>
    </row>
    <row r="41" customFormat="false" ht="18" hidden="false" customHeight="true" outlineLevel="0" collapsed="false">
      <c r="A41" s="48" t="n">
        <v>46271</v>
      </c>
      <c r="B41" s="49" t="s">
        <v>133</v>
      </c>
      <c r="C41" s="49" t="n">
        <v>60</v>
      </c>
      <c r="D41" s="49" t="n">
        <v>5</v>
      </c>
      <c r="E41" s="49" t="n">
        <v>3</v>
      </c>
      <c r="F41" s="53" t="n">
        <v>2</v>
      </c>
      <c r="G41" s="53" t="n">
        <v>4</v>
      </c>
      <c r="H41" s="51" t="n">
        <v>62.6</v>
      </c>
      <c r="I41" s="50" t="n">
        <v>2</v>
      </c>
      <c r="J41" s="50" t="n">
        <v>2</v>
      </c>
      <c r="K41" s="50" t="n">
        <v>7</v>
      </c>
      <c r="L41" s="49" t="s">
        <v>134</v>
      </c>
      <c r="M41" s="49" t="n">
        <v>3</v>
      </c>
      <c r="N41" s="49" t="n">
        <v>1000</v>
      </c>
      <c r="O41" s="15"/>
    </row>
    <row r="42" customFormat="false" ht="18" hidden="false" customHeight="true" outlineLevel="0" collapsed="false">
      <c r="A42" s="48" t="n">
        <v>46272</v>
      </c>
      <c r="B42" s="49" t="s">
        <v>133</v>
      </c>
      <c r="C42" s="49" t="n">
        <v>120</v>
      </c>
      <c r="D42" s="50" t="n">
        <v>7</v>
      </c>
      <c r="E42" s="49" t="n">
        <v>3</v>
      </c>
      <c r="F42" s="53" t="n">
        <v>1</v>
      </c>
      <c r="G42" s="55" t="n">
        <v>5</v>
      </c>
      <c r="H42" s="51" t="n">
        <v>63.4</v>
      </c>
      <c r="I42" s="50" t="n">
        <v>2</v>
      </c>
      <c r="J42" s="50" t="n">
        <v>2</v>
      </c>
      <c r="K42" s="50" t="n">
        <v>7</v>
      </c>
      <c r="L42" s="49" t="s">
        <v>134</v>
      </c>
      <c r="M42" s="49" t="n">
        <v>3</v>
      </c>
      <c r="N42" s="49" t="n">
        <v>1000</v>
      </c>
      <c r="O42" s="15" t="s">
        <v>145</v>
      </c>
    </row>
    <row r="43" customFormat="false" ht="18" hidden="false" customHeight="true" outlineLevel="0" collapsed="false">
      <c r="A43" s="48" t="n">
        <v>46273</v>
      </c>
      <c r="B43" s="49" t="s">
        <v>133</v>
      </c>
      <c r="C43" s="49" t="n">
        <v>120</v>
      </c>
      <c r="D43" s="53" t="n">
        <v>8</v>
      </c>
      <c r="E43" s="50" t="n">
        <v>4</v>
      </c>
      <c r="F43" s="49" t="n">
        <v>3</v>
      </c>
      <c r="G43" s="53" t="n">
        <v>4</v>
      </c>
      <c r="H43" s="51" t="n">
        <v>62.4</v>
      </c>
      <c r="I43" s="50" t="n">
        <v>2</v>
      </c>
      <c r="J43" s="49" t="n">
        <v>3</v>
      </c>
      <c r="K43" s="50" t="n">
        <v>7</v>
      </c>
      <c r="L43" s="49" t="s">
        <v>134</v>
      </c>
      <c r="M43" s="49" t="n">
        <v>2</v>
      </c>
      <c r="N43" s="49" t="n">
        <v>1000</v>
      </c>
      <c r="O43" s="15"/>
    </row>
    <row r="44" customFormat="false" ht="18" hidden="false" customHeight="true" outlineLevel="0" collapsed="false">
      <c r="A44" s="56" t="n">
        <v>46274</v>
      </c>
      <c r="B44" s="57" t="s">
        <v>142</v>
      </c>
      <c r="C44" s="57" t="n">
        <v>0</v>
      </c>
      <c r="D44" s="57"/>
      <c r="E44" s="57"/>
      <c r="F44" s="57"/>
      <c r="G44" s="57"/>
      <c r="H44" s="58" t="n">
        <v>62.8</v>
      </c>
      <c r="I44" s="50" t="n">
        <v>2</v>
      </c>
      <c r="J44" s="50" t="n">
        <v>2</v>
      </c>
      <c r="K44" s="50" t="n">
        <v>7</v>
      </c>
      <c r="L44" s="57" t="s">
        <v>135</v>
      </c>
      <c r="M44" s="57" t="n">
        <v>3</v>
      </c>
      <c r="N44" s="53" t="n">
        <v>500</v>
      </c>
      <c r="O44" s="59"/>
    </row>
    <row r="45" customFormat="false" ht="18" hidden="false" customHeight="true" outlineLevel="0" collapsed="false">
      <c r="A45" s="48" t="n">
        <v>46275</v>
      </c>
      <c r="B45" s="54" t="s">
        <v>137</v>
      </c>
      <c r="C45" s="49" t="n">
        <v>220</v>
      </c>
      <c r="D45" s="53" t="n">
        <v>8</v>
      </c>
      <c r="E45" s="53" t="n">
        <v>2</v>
      </c>
      <c r="F45" s="53" t="n">
        <v>2</v>
      </c>
      <c r="G45" s="53" t="n">
        <v>4</v>
      </c>
      <c r="H45" s="51" t="n">
        <v>62.4</v>
      </c>
      <c r="I45" s="50" t="n">
        <v>2</v>
      </c>
      <c r="J45" s="50" t="n">
        <v>2</v>
      </c>
      <c r="K45" s="50" t="n">
        <v>7</v>
      </c>
      <c r="L45" s="49" t="s">
        <v>134</v>
      </c>
      <c r="M45" s="49" t="n">
        <v>2</v>
      </c>
      <c r="N45" s="49" t="n">
        <v>1000</v>
      </c>
      <c r="O45" s="15"/>
    </row>
    <row r="46" customFormat="false" ht="18" hidden="false" customHeight="true" outlineLevel="0" collapsed="false">
      <c r="A46" s="48" t="n">
        <v>46276</v>
      </c>
      <c r="B46" s="49" t="s">
        <v>133</v>
      </c>
      <c r="C46" s="49" t="n">
        <v>60</v>
      </c>
      <c r="D46" s="50" t="n">
        <v>6</v>
      </c>
      <c r="E46" s="50" t="n">
        <v>4</v>
      </c>
      <c r="F46" s="49" t="n">
        <v>3</v>
      </c>
      <c r="G46" s="50" t="n">
        <v>3</v>
      </c>
      <c r="H46" s="51" t="n">
        <v>63.1</v>
      </c>
      <c r="I46" s="50" t="n">
        <v>2</v>
      </c>
      <c r="J46" s="49" t="n">
        <v>3</v>
      </c>
      <c r="K46" s="50" t="n">
        <v>7</v>
      </c>
      <c r="L46" s="49" t="s">
        <v>134</v>
      </c>
      <c r="M46" s="49" t="n">
        <v>3</v>
      </c>
      <c r="N46" s="49" t="n">
        <v>1000</v>
      </c>
      <c r="O46" s="15"/>
    </row>
    <row r="47" customFormat="false" ht="18" hidden="false" customHeight="true" outlineLevel="0" collapsed="false">
      <c r="A47" s="48" t="n">
        <v>46277</v>
      </c>
      <c r="B47" s="49" t="s">
        <v>133</v>
      </c>
      <c r="C47" s="49" t="n">
        <v>180</v>
      </c>
      <c r="D47" s="50" t="n">
        <v>6</v>
      </c>
      <c r="E47" s="53" t="n">
        <v>2</v>
      </c>
      <c r="F47" s="49" t="n">
        <v>3</v>
      </c>
      <c r="G47" s="53" t="n">
        <v>4</v>
      </c>
      <c r="H47" s="51" t="n">
        <v>62</v>
      </c>
      <c r="I47" s="49" t="n">
        <v>3</v>
      </c>
      <c r="J47" s="49" t="n">
        <v>3</v>
      </c>
      <c r="K47" s="53" t="n">
        <v>6</v>
      </c>
      <c r="L47" s="53" t="s">
        <v>135</v>
      </c>
      <c r="M47" s="49" t="n">
        <v>2</v>
      </c>
      <c r="N47" s="49" t="n">
        <v>1000</v>
      </c>
      <c r="O47" s="15"/>
    </row>
    <row r="48" customFormat="false" ht="18" hidden="false" customHeight="true" outlineLevel="0" collapsed="false">
      <c r="A48" s="56" t="n">
        <v>46278</v>
      </c>
      <c r="B48" s="57" t="s">
        <v>142</v>
      </c>
      <c r="C48" s="57" t="n">
        <v>0</v>
      </c>
      <c r="D48" s="57"/>
      <c r="E48" s="57"/>
      <c r="F48" s="57"/>
      <c r="G48" s="57"/>
      <c r="H48" s="58" t="n">
        <v>62.9</v>
      </c>
      <c r="I48" s="57" t="n">
        <v>3</v>
      </c>
      <c r="J48" s="57" t="n">
        <v>3</v>
      </c>
      <c r="K48" s="50" t="n">
        <v>7</v>
      </c>
      <c r="L48" s="57" t="s">
        <v>135</v>
      </c>
      <c r="M48" s="57" t="n">
        <v>2</v>
      </c>
      <c r="N48" s="53" t="n">
        <v>500</v>
      </c>
      <c r="O48" s="59"/>
    </row>
    <row r="49" customFormat="false" ht="18" hidden="false" customHeight="true" outlineLevel="0" collapsed="false">
      <c r="A49" s="48" t="n">
        <v>46279</v>
      </c>
      <c r="B49" s="49" t="s">
        <v>133</v>
      </c>
      <c r="C49" s="49" t="n">
        <v>180</v>
      </c>
      <c r="D49" s="50" t="n">
        <v>7</v>
      </c>
      <c r="E49" s="49" t="n">
        <v>3</v>
      </c>
      <c r="F49" s="49" t="n">
        <v>3</v>
      </c>
      <c r="G49" s="53" t="n">
        <v>4</v>
      </c>
      <c r="H49" s="51" t="n">
        <v>62.1</v>
      </c>
      <c r="I49" s="50" t="n">
        <v>2</v>
      </c>
      <c r="J49" s="49" t="n">
        <v>3</v>
      </c>
      <c r="K49" s="50" t="n">
        <v>7</v>
      </c>
      <c r="L49" s="53" t="s">
        <v>135</v>
      </c>
      <c r="M49" s="49" t="n">
        <v>3</v>
      </c>
      <c r="N49" s="49" t="n">
        <v>1000</v>
      </c>
      <c r="O49" s="15"/>
    </row>
    <row r="50" customFormat="false" ht="18" hidden="false" customHeight="true" outlineLevel="0" collapsed="false">
      <c r="A50" s="48" t="n">
        <v>46280</v>
      </c>
      <c r="B50" s="49" t="s">
        <v>133</v>
      </c>
      <c r="C50" s="49" t="n">
        <v>180</v>
      </c>
      <c r="D50" s="50" t="n">
        <v>7</v>
      </c>
      <c r="E50" s="50" t="n">
        <v>4</v>
      </c>
      <c r="F50" s="53" t="n">
        <v>2</v>
      </c>
      <c r="G50" s="53" t="n">
        <v>4</v>
      </c>
      <c r="H50" s="51" t="n">
        <v>62.5</v>
      </c>
      <c r="I50" s="49" t="n">
        <v>3</v>
      </c>
      <c r="J50" s="50" t="n">
        <v>2</v>
      </c>
      <c r="K50" s="50" t="n">
        <v>8</v>
      </c>
      <c r="L50" s="53" t="s">
        <v>135</v>
      </c>
      <c r="M50" s="49" t="n">
        <v>3</v>
      </c>
      <c r="N50" s="49" t="n">
        <v>1000</v>
      </c>
      <c r="O50" s="15"/>
    </row>
    <row r="51" customFormat="false" ht="18" hidden="false" customHeight="true" outlineLevel="0" collapsed="false">
      <c r="A51" s="48" t="n">
        <v>46281</v>
      </c>
      <c r="B51" s="49" t="s">
        <v>133</v>
      </c>
      <c r="C51" s="49" t="n">
        <v>180</v>
      </c>
      <c r="D51" s="53" t="n">
        <v>8</v>
      </c>
      <c r="E51" s="50" t="n">
        <v>4</v>
      </c>
      <c r="F51" s="50" t="n">
        <v>4</v>
      </c>
      <c r="G51" s="50" t="n">
        <v>3</v>
      </c>
      <c r="H51" s="51" t="n">
        <v>62.2</v>
      </c>
      <c r="I51" s="49" t="n">
        <v>3</v>
      </c>
      <c r="J51" s="49" t="n">
        <v>3</v>
      </c>
      <c r="K51" s="50" t="n">
        <v>7</v>
      </c>
      <c r="L51" s="53" t="s">
        <v>135</v>
      </c>
      <c r="M51" s="49" t="n">
        <v>2</v>
      </c>
      <c r="N51" s="49" t="n">
        <v>1000</v>
      </c>
      <c r="O51" s="15"/>
    </row>
    <row r="52" customFormat="false" ht="18" hidden="false" customHeight="true" outlineLevel="0" collapsed="false">
      <c r="A52" s="48" t="n">
        <v>46282</v>
      </c>
      <c r="B52" s="49" t="s">
        <v>133</v>
      </c>
      <c r="C52" s="49" t="n">
        <v>180</v>
      </c>
      <c r="D52" s="50" t="n">
        <v>7</v>
      </c>
      <c r="E52" s="53" t="n">
        <v>2</v>
      </c>
      <c r="F52" s="53" t="n">
        <v>2</v>
      </c>
      <c r="G52" s="55" t="n">
        <v>5</v>
      </c>
      <c r="H52" s="51" t="n">
        <v>62.8</v>
      </c>
      <c r="I52" s="49" t="n">
        <v>3</v>
      </c>
      <c r="J52" s="49" t="n">
        <v>3</v>
      </c>
      <c r="K52" s="50" t="n">
        <v>7</v>
      </c>
      <c r="L52" s="53" t="s">
        <v>135</v>
      </c>
      <c r="M52" s="49" t="n">
        <v>2</v>
      </c>
      <c r="N52" s="49" t="n">
        <v>1000</v>
      </c>
      <c r="O52" s="15" t="s">
        <v>146</v>
      </c>
    </row>
    <row r="53" customFormat="false" ht="18" hidden="false" customHeight="true" outlineLevel="0" collapsed="false">
      <c r="A53" s="48" t="n">
        <v>46283</v>
      </c>
      <c r="B53" s="49" t="s">
        <v>133</v>
      </c>
      <c r="C53" s="49" t="n">
        <v>60</v>
      </c>
      <c r="D53" s="50" t="n">
        <v>7</v>
      </c>
      <c r="E53" s="50" t="n">
        <v>4</v>
      </c>
      <c r="F53" s="50" t="n">
        <v>4</v>
      </c>
      <c r="G53" s="50" t="n">
        <v>3</v>
      </c>
      <c r="H53" s="51" t="n">
        <v>62.3</v>
      </c>
      <c r="I53" s="50" t="n">
        <v>2</v>
      </c>
      <c r="J53" s="50" t="n">
        <v>2</v>
      </c>
      <c r="K53" s="50" t="n">
        <v>7</v>
      </c>
      <c r="L53" s="49" t="s">
        <v>134</v>
      </c>
      <c r="M53" s="49" t="n">
        <v>2</v>
      </c>
      <c r="N53" s="49" t="n">
        <v>1000</v>
      </c>
      <c r="O53" s="15"/>
    </row>
    <row r="54" customFormat="false" ht="18" hidden="false" customHeight="true" outlineLevel="0" collapsed="false">
      <c r="A54" s="48" t="n">
        <v>46284</v>
      </c>
      <c r="B54" s="49" t="s">
        <v>133</v>
      </c>
      <c r="C54" s="49" t="n">
        <v>180</v>
      </c>
      <c r="D54" s="50" t="n">
        <v>7</v>
      </c>
      <c r="E54" s="53" t="n">
        <v>2</v>
      </c>
      <c r="F54" s="53" t="n">
        <v>2</v>
      </c>
      <c r="G54" s="55" t="n">
        <v>5</v>
      </c>
      <c r="H54" s="51" t="n">
        <v>62.8</v>
      </c>
      <c r="I54" s="50" t="n">
        <v>2</v>
      </c>
      <c r="J54" s="50" t="n">
        <v>2</v>
      </c>
      <c r="K54" s="53" t="n">
        <v>6</v>
      </c>
      <c r="L54" s="53" t="s">
        <v>135</v>
      </c>
      <c r="M54" s="49" t="n">
        <v>3</v>
      </c>
      <c r="N54" s="49" t="n">
        <v>1000</v>
      </c>
      <c r="O54" s="15"/>
    </row>
    <row r="55" customFormat="false" ht="18" hidden="false" customHeight="true" outlineLevel="0" collapsed="false">
      <c r="A55" s="56" t="n">
        <v>46285</v>
      </c>
      <c r="B55" s="57" t="s">
        <v>142</v>
      </c>
      <c r="C55" s="57" t="n">
        <v>0</v>
      </c>
      <c r="D55" s="57"/>
      <c r="E55" s="57"/>
      <c r="F55" s="57"/>
      <c r="G55" s="57"/>
      <c r="H55" s="58" t="n">
        <v>62.6</v>
      </c>
      <c r="I55" s="57" t="n">
        <v>3</v>
      </c>
      <c r="J55" s="50" t="n">
        <v>2</v>
      </c>
      <c r="K55" s="50" t="n">
        <v>7</v>
      </c>
      <c r="L55" s="57" t="s">
        <v>135</v>
      </c>
      <c r="M55" s="57" t="n">
        <v>3</v>
      </c>
      <c r="N55" s="53" t="n">
        <v>500</v>
      </c>
      <c r="O55" s="59"/>
    </row>
    <row r="56" customFormat="false" ht="18" hidden="false" customHeight="true" outlineLevel="0" collapsed="false">
      <c r="A56" s="48" t="n">
        <v>46286</v>
      </c>
      <c r="B56" s="49" t="s">
        <v>133</v>
      </c>
      <c r="C56" s="49" t="n">
        <v>60</v>
      </c>
      <c r="D56" s="53" t="n">
        <v>8</v>
      </c>
      <c r="E56" s="50" t="n">
        <v>4</v>
      </c>
      <c r="F56" s="49" t="n">
        <v>3</v>
      </c>
      <c r="G56" s="50" t="n">
        <v>2</v>
      </c>
      <c r="H56" s="51" t="n">
        <v>62.9</v>
      </c>
      <c r="I56" s="50" t="n">
        <v>2</v>
      </c>
      <c r="J56" s="50" t="n">
        <v>2</v>
      </c>
      <c r="K56" s="53" t="n">
        <v>6</v>
      </c>
      <c r="L56" s="53" t="s">
        <v>135</v>
      </c>
      <c r="M56" s="49" t="n">
        <v>2</v>
      </c>
      <c r="N56" s="53" t="n">
        <v>500</v>
      </c>
      <c r="O56" s="15" t="s">
        <v>147</v>
      </c>
    </row>
    <row r="57" customFormat="false" ht="18" hidden="false" customHeight="true" outlineLevel="0" collapsed="false">
      <c r="A57" s="56" t="n">
        <v>46287</v>
      </c>
      <c r="B57" s="57" t="s">
        <v>142</v>
      </c>
      <c r="C57" s="57" t="n">
        <v>0</v>
      </c>
      <c r="D57" s="57"/>
      <c r="E57" s="57"/>
      <c r="F57" s="57"/>
      <c r="G57" s="57"/>
      <c r="H57" s="58" t="n">
        <v>62.8</v>
      </c>
      <c r="I57" s="50" t="n">
        <v>2</v>
      </c>
      <c r="J57" s="50" t="n">
        <v>2</v>
      </c>
      <c r="K57" s="50" t="n">
        <v>8</v>
      </c>
      <c r="L57" s="57" t="s">
        <v>135</v>
      </c>
      <c r="M57" s="57" t="n">
        <v>3</v>
      </c>
      <c r="N57" s="53" t="n">
        <v>500</v>
      </c>
      <c r="O57" s="59"/>
    </row>
    <row r="58" customFormat="false" ht="18" hidden="false" customHeight="true" outlineLevel="0" collapsed="false">
      <c r="A58" s="48" t="n">
        <v>46288</v>
      </c>
      <c r="B58" s="49" t="s">
        <v>133</v>
      </c>
      <c r="C58" s="49" t="n">
        <v>60</v>
      </c>
      <c r="D58" s="49" t="n">
        <v>4</v>
      </c>
      <c r="E58" s="49" t="n">
        <v>3</v>
      </c>
      <c r="F58" s="49" t="n">
        <v>3</v>
      </c>
      <c r="G58" s="53" t="n">
        <v>4</v>
      </c>
      <c r="H58" s="51" t="n">
        <v>63.5</v>
      </c>
      <c r="I58" s="50" t="n">
        <v>2</v>
      </c>
      <c r="J58" s="49" t="n">
        <v>3</v>
      </c>
      <c r="K58" s="53" t="n">
        <v>6</v>
      </c>
      <c r="L58" s="49" t="s">
        <v>134</v>
      </c>
      <c r="M58" s="49" t="n">
        <v>3</v>
      </c>
      <c r="N58" s="49" t="n">
        <v>1000</v>
      </c>
      <c r="O58" s="15"/>
    </row>
    <row r="59" customFormat="false" ht="18" hidden="false" customHeight="true" outlineLevel="0" collapsed="false">
      <c r="A59" s="48" t="n">
        <v>46289</v>
      </c>
      <c r="B59" s="49" t="s">
        <v>133</v>
      </c>
      <c r="C59" s="49" t="n">
        <v>60</v>
      </c>
      <c r="D59" s="50" t="n">
        <v>6</v>
      </c>
      <c r="E59" s="53" t="n">
        <v>1</v>
      </c>
      <c r="F59" s="53" t="n">
        <v>1</v>
      </c>
      <c r="G59" s="55" t="n">
        <v>5</v>
      </c>
      <c r="H59" s="51" t="n">
        <v>62</v>
      </c>
      <c r="I59" s="50" t="n">
        <v>2</v>
      </c>
      <c r="J59" s="49" t="n">
        <v>3</v>
      </c>
      <c r="K59" s="50" t="n">
        <v>7</v>
      </c>
      <c r="L59" s="49" t="s">
        <v>134</v>
      </c>
      <c r="M59" s="49" t="n">
        <v>2</v>
      </c>
      <c r="N59" s="49" t="n">
        <v>1000</v>
      </c>
      <c r="O59" s="15" t="s">
        <v>148</v>
      </c>
    </row>
    <row r="60" customFormat="false" ht="18" hidden="false" customHeight="true" outlineLevel="0" collapsed="false">
      <c r="A60" s="48" t="n">
        <v>46290</v>
      </c>
      <c r="B60" s="49" t="s">
        <v>133</v>
      </c>
      <c r="C60" s="49" t="n">
        <v>120</v>
      </c>
      <c r="D60" s="50" t="n">
        <v>7</v>
      </c>
      <c r="E60" s="50" t="n">
        <v>4</v>
      </c>
      <c r="F60" s="50" t="n">
        <v>4</v>
      </c>
      <c r="G60" s="50" t="n">
        <v>2</v>
      </c>
      <c r="H60" s="51" t="n">
        <v>63</v>
      </c>
      <c r="I60" s="50" t="n">
        <v>2</v>
      </c>
      <c r="J60" s="50" t="n">
        <v>2</v>
      </c>
      <c r="K60" s="50" t="n">
        <v>7</v>
      </c>
      <c r="L60" s="53" t="s">
        <v>135</v>
      </c>
      <c r="M60" s="49" t="n">
        <v>3</v>
      </c>
      <c r="N60" s="49" t="n">
        <v>1000</v>
      </c>
      <c r="O60" s="15"/>
    </row>
    <row r="61" customFormat="false" ht="18" hidden="false" customHeight="true" outlineLevel="0" collapsed="false">
      <c r="A61" s="48" t="n">
        <v>46291</v>
      </c>
      <c r="B61" s="49" t="s">
        <v>133</v>
      </c>
      <c r="C61" s="49" t="n">
        <v>120</v>
      </c>
      <c r="D61" s="50" t="n">
        <v>7</v>
      </c>
      <c r="E61" s="49" t="n">
        <v>3</v>
      </c>
      <c r="F61" s="50" t="n">
        <v>4</v>
      </c>
      <c r="G61" s="50" t="n">
        <v>3</v>
      </c>
      <c r="H61" s="51" t="n">
        <v>62.1</v>
      </c>
      <c r="I61" s="50" t="n">
        <v>2</v>
      </c>
      <c r="J61" s="50" t="n">
        <v>2</v>
      </c>
      <c r="K61" s="50" t="n">
        <v>7</v>
      </c>
      <c r="L61" s="49" t="s">
        <v>134</v>
      </c>
      <c r="M61" s="49" t="n">
        <v>3</v>
      </c>
      <c r="N61" s="49" t="n">
        <v>1000</v>
      </c>
      <c r="O61" s="15"/>
    </row>
    <row r="62" customFormat="false" ht="18" hidden="false" customHeight="true" outlineLevel="0" collapsed="false">
      <c r="A62" s="56" t="n">
        <v>46292</v>
      </c>
      <c r="B62" s="57" t="s">
        <v>142</v>
      </c>
      <c r="C62" s="57" t="n">
        <v>0</v>
      </c>
      <c r="D62" s="57"/>
      <c r="E62" s="57"/>
      <c r="F62" s="57"/>
      <c r="G62" s="57"/>
      <c r="H62" s="58" t="n">
        <v>62.4</v>
      </c>
      <c r="I62" s="57" t="n">
        <v>3</v>
      </c>
      <c r="J62" s="50" t="n">
        <v>2</v>
      </c>
      <c r="K62" s="50" t="n">
        <v>7</v>
      </c>
      <c r="L62" s="57" t="s">
        <v>135</v>
      </c>
      <c r="M62" s="57" t="n">
        <v>3</v>
      </c>
      <c r="N62" s="57" t="n">
        <v>1000</v>
      </c>
      <c r="O62" s="59"/>
    </row>
    <row r="63" customFormat="false" ht="18" hidden="false" customHeight="true" outlineLevel="0" collapsed="false">
      <c r="A63" s="56" t="n">
        <v>46293</v>
      </c>
      <c r="B63" s="57" t="s">
        <v>142</v>
      </c>
      <c r="C63" s="57" t="n">
        <v>0</v>
      </c>
      <c r="D63" s="57"/>
      <c r="E63" s="57"/>
      <c r="F63" s="57"/>
      <c r="G63" s="57"/>
      <c r="H63" s="58"/>
      <c r="I63" s="57" t="n">
        <v>3</v>
      </c>
      <c r="J63" s="57" t="n">
        <v>3</v>
      </c>
      <c r="K63" s="50" t="n">
        <v>7</v>
      </c>
      <c r="L63" s="57" t="s">
        <v>135</v>
      </c>
      <c r="M63" s="57" t="n">
        <v>4</v>
      </c>
      <c r="N63" s="53" t="n">
        <v>500</v>
      </c>
      <c r="O63" s="59"/>
    </row>
    <row r="64" customFormat="false" ht="18" hidden="false" customHeight="true" outlineLevel="0" collapsed="false">
      <c r="A64" s="48" t="n">
        <v>46294</v>
      </c>
      <c r="B64" s="49" t="s">
        <v>133</v>
      </c>
      <c r="C64" s="49" t="n">
        <v>60</v>
      </c>
      <c r="D64" s="50" t="n">
        <v>6</v>
      </c>
      <c r="E64" s="50" t="n">
        <v>4</v>
      </c>
      <c r="F64" s="50" t="n">
        <v>4</v>
      </c>
      <c r="G64" s="50" t="n">
        <v>3</v>
      </c>
      <c r="H64" s="51" t="n">
        <v>63.2</v>
      </c>
      <c r="I64" s="49" t="n">
        <v>3</v>
      </c>
      <c r="J64" s="53" t="n">
        <v>4</v>
      </c>
      <c r="K64" s="55" t="n">
        <v>5</v>
      </c>
      <c r="L64" s="53" t="s">
        <v>135</v>
      </c>
      <c r="M64" s="49" t="n">
        <v>3</v>
      </c>
      <c r="N64" s="53" t="n">
        <v>500</v>
      </c>
      <c r="O64" s="15"/>
    </row>
    <row r="65" customFormat="false" ht="18" hidden="false" customHeight="true" outlineLevel="0" collapsed="false">
      <c r="A65" s="48" t="n">
        <v>46295</v>
      </c>
      <c r="B65" s="49" t="s">
        <v>133</v>
      </c>
      <c r="C65" s="49" t="n">
        <v>180</v>
      </c>
      <c r="D65" s="50" t="n">
        <v>6</v>
      </c>
      <c r="E65" s="50" t="n">
        <v>4</v>
      </c>
      <c r="F65" s="50" t="n">
        <v>4</v>
      </c>
      <c r="G65" s="50" t="n">
        <v>3</v>
      </c>
      <c r="H65" s="51" t="n">
        <v>62.5</v>
      </c>
      <c r="I65" s="50" t="n">
        <v>2</v>
      </c>
      <c r="J65" s="50" t="n">
        <v>2</v>
      </c>
      <c r="K65" s="50" t="n">
        <v>7</v>
      </c>
      <c r="L65" s="49" t="s">
        <v>134</v>
      </c>
      <c r="M65" s="49" t="n">
        <v>3</v>
      </c>
      <c r="N65" s="49" t="n">
        <v>1000</v>
      </c>
      <c r="O65" s="15"/>
    </row>
    <row r="66" customFormat="false" ht="18" hidden="false" customHeight="true" outlineLevel="0" collapsed="false">
      <c r="A66" s="56" t="n">
        <v>46297</v>
      </c>
      <c r="B66" s="57" t="s">
        <v>142</v>
      </c>
      <c r="C66" s="57" t="n">
        <v>0</v>
      </c>
      <c r="D66" s="57"/>
      <c r="E66" s="57"/>
      <c r="F66" s="57"/>
      <c r="G66" s="57"/>
      <c r="H66" s="58"/>
      <c r="I66" s="50" t="n">
        <v>2</v>
      </c>
      <c r="J66" s="50" t="n">
        <v>2</v>
      </c>
      <c r="K66" s="50" t="n">
        <v>7</v>
      </c>
      <c r="L66" s="57" t="s">
        <v>135</v>
      </c>
      <c r="M66" s="57" t="n">
        <v>3</v>
      </c>
      <c r="N66" s="57" t="n">
        <v>1000</v>
      </c>
      <c r="O66" s="59"/>
    </row>
    <row r="67" customFormat="false" ht="18" hidden="false" customHeight="true" outlineLevel="0" collapsed="false">
      <c r="A67" s="56" t="n">
        <v>46299</v>
      </c>
      <c r="B67" s="57" t="s">
        <v>142</v>
      </c>
      <c r="C67" s="57" t="n">
        <v>0</v>
      </c>
      <c r="D67" s="57"/>
      <c r="E67" s="57"/>
      <c r="F67" s="57"/>
      <c r="G67" s="57"/>
      <c r="H67" s="58" t="n">
        <v>61.9</v>
      </c>
      <c r="I67" s="57" t="n">
        <v>3</v>
      </c>
      <c r="J67" s="57" t="n">
        <v>3</v>
      </c>
      <c r="K67" s="50" t="n">
        <v>7</v>
      </c>
      <c r="L67" s="57" t="s">
        <v>135</v>
      </c>
      <c r="M67" s="57" t="n">
        <v>3</v>
      </c>
      <c r="N67" s="53" t="n">
        <v>500</v>
      </c>
      <c r="O67" s="59"/>
    </row>
    <row r="68" customFormat="false" ht="15" hidden="false" customHeight="false" outlineLevel="0" collapsed="false">
      <c r="A68" s="60" t="s">
        <v>149</v>
      </c>
      <c r="B68" s="60"/>
      <c r="C68" s="61" t="n">
        <f aca="false">SUM(C4:C67)</f>
        <v>5470</v>
      </c>
      <c r="D68" s="60" t="n">
        <f aca="false">AVERAGE(D4:D67)</f>
        <v>6.53846153846154</v>
      </c>
      <c r="E68" s="60" t="n">
        <f aca="false">AVERAGE(E4:E67)</f>
        <v>3.38461538461538</v>
      </c>
      <c r="F68" s="60" t="n">
        <f aca="false">AVERAGE(F4:F67)</f>
        <v>3.23076923076923</v>
      </c>
      <c r="G68" s="60" t="n">
        <f aca="false">AVERAGE(G4:G67)</f>
        <v>3.38461538461538</v>
      </c>
      <c r="H68" s="60" t="n">
        <f aca="false">AVERAGE(H4:H67)</f>
        <v>62.4672131147541</v>
      </c>
      <c r="I68" s="60" t="n">
        <f aca="false">AVERAGE(I4:I67)</f>
        <v>2.359375</v>
      </c>
      <c r="J68" s="60" t="n">
        <f aca="false">AVERAGE(J4:J67)</f>
        <v>2.359375</v>
      </c>
      <c r="K68" s="60" t="n">
        <f aca="false">AVERAGE(K4:K67)</f>
        <v>6.71875</v>
      </c>
      <c r="L68" s="62" t="n">
        <f aca="false">COUNTIF(L4:L67,"はい")</f>
        <v>36</v>
      </c>
      <c r="M68" s="60" t="n">
        <f aca="false">AVERAGE(M4:M67)</f>
        <v>2.78125</v>
      </c>
      <c r="N68" s="61" t="n">
        <f aca="false">AVERAGE(N4:N67)</f>
        <v>914.0625</v>
      </c>
      <c r="O68" s="60"/>
    </row>
    <row r="69" customFormat="false" ht="24" hidden="false" customHeight="true" outlineLevel="0" collapsed="false">
      <c r="D69" s="63" t="s">
        <v>150</v>
      </c>
      <c r="E69" s="63" t="s">
        <v>151</v>
      </c>
      <c r="F69" s="63" t="s">
        <v>151</v>
      </c>
      <c r="G69" s="63" t="s">
        <v>152</v>
      </c>
      <c r="I69" s="63" t="s">
        <v>153</v>
      </c>
      <c r="J69" s="63" t="s">
        <v>153</v>
      </c>
      <c r="K69" s="63" t="s">
        <v>154</v>
      </c>
      <c r="L69" s="64" t="s">
        <v>155</v>
      </c>
      <c r="N69" s="63" t="s">
        <v>156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7"/>
    <col collapsed="false" customWidth="true" hidden="false" outlineLevel="0" max="10" min="10" style="0" width="12"/>
    <col collapsed="false" customWidth="true" hidden="false" outlineLevel="0" max="11" min="11" style="0" width="8"/>
  </cols>
  <sheetData>
    <row r="1" customFormat="false" ht="24.75" hidden="false" customHeight="true" outlineLevel="0" collapsed="false">
      <c r="A1" s="65" t="s">
        <v>157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3" customFormat="false" ht="15" hidden="false" customHeight="false" outlineLevel="0" collapsed="false">
      <c r="A3" s="66" t="s">
        <v>158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5" customFormat="false" ht="15" hidden="false" customHeight="false" outlineLevel="0" collapsed="false">
      <c r="A5" s="67" t="s">
        <v>118</v>
      </c>
      <c r="B5" s="67" t="s">
        <v>159</v>
      </c>
      <c r="C5" s="67" t="s">
        <v>160</v>
      </c>
      <c r="D5" s="67" t="s">
        <v>161</v>
      </c>
      <c r="E5" s="67" t="s">
        <v>162</v>
      </c>
      <c r="F5" s="67" t="s">
        <v>163</v>
      </c>
      <c r="G5" s="67" t="s">
        <v>164</v>
      </c>
      <c r="H5" s="67" t="s">
        <v>165</v>
      </c>
      <c r="I5" s="67" t="s">
        <v>166</v>
      </c>
      <c r="J5" s="67" t="s">
        <v>167</v>
      </c>
      <c r="K5" s="67" t="s">
        <v>129</v>
      </c>
    </row>
    <row r="6" customFormat="false" ht="15" hidden="false" customHeight="false" outlineLevel="0" collapsed="false">
      <c r="A6" s="68" t="n">
        <v>46225</v>
      </c>
      <c r="B6" s="69"/>
      <c r="C6" s="69"/>
      <c r="D6" s="69"/>
      <c r="E6" s="70" t="s">
        <v>168</v>
      </c>
      <c r="F6" s="69"/>
      <c r="G6" s="70" t="s">
        <v>168</v>
      </c>
      <c r="H6" s="69"/>
      <c r="I6" s="70" t="s">
        <v>168</v>
      </c>
      <c r="J6" s="71" t="n">
        <f aca="false">COUNTIF(B6:I6,"○")</f>
        <v>3</v>
      </c>
      <c r="K6" s="72" t="s">
        <v>134</v>
      </c>
    </row>
    <row r="7" customFormat="false" ht="15" hidden="false" customHeight="false" outlineLevel="0" collapsed="false">
      <c r="A7" s="68" t="n">
        <v>46226</v>
      </c>
      <c r="B7" s="69"/>
      <c r="C7" s="70" t="s">
        <v>168</v>
      </c>
      <c r="D7" s="69"/>
      <c r="E7" s="70" t="s">
        <v>168</v>
      </c>
      <c r="F7" s="70" t="s">
        <v>168</v>
      </c>
      <c r="G7" s="70" t="s">
        <v>168</v>
      </c>
      <c r="H7" s="69"/>
      <c r="I7" s="70" t="s">
        <v>168</v>
      </c>
      <c r="J7" s="71" t="n">
        <f aca="false">COUNTIF(B7:I7,"○")</f>
        <v>5</v>
      </c>
      <c r="K7" s="73" t="s">
        <v>135</v>
      </c>
    </row>
    <row r="8" customFormat="false" ht="15" hidden="false" customHeight="false" outlineLevel="0" collapsed="false">
      <c r="A8" s="68" t="n">
        <v>46227</v>
      </c>
      <c r="B8" s="69"/>
      <c r="C8" s="69"/>
      <c r="D8" s="69"/>
      <c r="E8" s="70" t="s">
        <v>168</v>
      </c>
      <c r="F8" s="69"/>
      <c r="G8" s="70" t="s">
        <v>168</v>
      </c>
      <c r="H8" s="69"/>
      <c r="I8" s="69"/>
      <c r="J8" s="71" t="n">
        <f aca="false">COUNTIF(B8:I8,"○")</f>
        <v>2</v>
      </c>
      <c r="K8" s="72" t="s">
        <v>134</v>
      </c>
    </row>
    <row r="9" customFormat="false" ht="15" hidden="false" customHeight="false" outlineLevel="0" collapsed="false">
      <c r="A9" s="68" t="n">
        <v>46228</v>
      </c>
      <c r="B9" s="69"/>
      <c r="C9" s="70" t="s">
        <v>168</v>
      </c>
      <c r="D9" s="69"/>
      <c r="E9" s="69"/>
      <c r="F9" s="69"/>
      <c r="G9" s="70" t="s">
        <v>168</v>
      </c>
      <c r="H9" s="69"/>
      <c r="I9" s="70" t="s">
        <v>168</v>
      </c>
      <c r="J9" s="71" t="n">
        <f aca="false">COUNTIF(B9:I9,"○")</f>
        <v>3</v>
      </c>
      <c r="K9" s="73" t="s">
        <v>135</v>
      </c>
    </row>
    <row r="10" customFormat="false" ht="15" hidden="false" customHeight="false" outlineLevel="0" collapsed="false">
      <c r="A10" s="68" t="n">
        <v>46229</v>
      </c>
      <c r="B10" s="70" t="s">
        <v>168</v>
      </c>
      <c r="C10" s="69"/>
      <c r="D10" s="69"/>
      <c r="E10" s="70" t="s">
        <v>168</v>
      </c>
      <c r="F10" s="69"/>
      <c r="G10" s="70" t="s">
        <v>168</v>
      </c>
      <c r="H10" s="69"/>
      <c r="I10" s="70" t="s">
        <v>168</v>
      </c>
      <c r="J10" s="71" t="n">
        <f aca="false">COUNTIF(B10:I10,"○")</f>
        <v>4</v>
      </c>
      <c r="K10" s="72" t="s">
        <v>134</v>
      </c>
    </row>
    <row r="11" customFormat="false" ht="15" hidden="false" customHeight="false" outlineLevel="0" collapsed="false">
      <c r="A11" s="68" t="n">
        <v>46230</v>
      </c>
      <c r="B11" s="69"/>
      <c r="C11" s="69"/>
      <c r="D11" s="69"/>
      <c r="E11" s="69"/>
      <c r="F11" s="69"/>
      <c r="G11" s="70" t="s">
        <v>168</v>
      </c>
      <c r="H11" s="69"/>
      <c r="I11" s="70" t="s">
        <v>168</v>
      </c>
      <c r="J11" s="71" t="n">
        <f aca="false">COUNTIF(B11:I11,"○")</f>
        <v>2</v>
      </c>
      <c r="K11" s="72" t="s">
        <v>134</v>
      </c>
    </row>
    <row r="12" customFormat="false" ht="15" hidden="false" customHeight="false" outlineLevel="0" collapsed="false">
      <c r="A12" s="68" t="n">
        <v>46231</v>
      </c>
      <c r="B12" s="69"/>
      <c r="C12" s="70" t="s">
        <v>168</v>
      </c>
      <c r="D12" s="69"/>
      <c r="E12" s="69"/>
      <c r="F12" s="69"/>
      <c r="G12" s="70" t="s">
        <v>168</v>
      </c>
      <c r="H12" s="69"/>
      <c r="I12" s="70" t="s">
        <v>168</v>
      </c>
      <c r="J12" s="71" t="n">
        <f aca="false">COUNTIF(B12:I12,"○")</f>
        <v>3</v>
      </c>
      <c r="K12" s="72" t="s">
        <v>134</v>
      </c>
    </row>
    <row r="13" customFormat="false" ht="15" hidden="false" customHeight="false" outlineLevel="0" collapsed="false">
      <c r="A13" s="68" t="n">
        <v>46232</v>
      </c>
      <c r="B13" s="69"/>
      <c r="C13" s="70" t="s">
        <v>168</v>
      </c>
      <c r="D13" s="69"/>
      <c r="E13" s="69"/>
      <c r="F13" s="69"/>
      <c r="G13" s="70" t="s">
        <v>168</v>
      </c>
      <c r="H13" s="69"/>
      <c r="I13" s="70" t="s">
        <v>168</v>
      </c>
      <c r="J13" s="71" t="n">
        <f aca="false">COUNTIF(B13:I13,"○")</f>
        <v>3</v>
      </c>
      <c r="K13" s="72" t="s">
        <v>134</v>
      </c>
    </row>
    <row r="14" customFormat="false" ht="15" hidden="false" customHeight="false" outlineLevel="0" collapsed="false">
      <c r="A14" s="68" t="n">
        <v>46233</v>
      </c>
      <c r="B14" s="69"/>
      <c r="C14" s="70" t="s">
        <v>168</v>
      </c>
      <c r="D14" s="69"/>
      <c r="E14" s="69"/>
      <c r="F14" s="69"/>
      <c r="G14" s="70" t="s">
        <v>168</v>
      </c>
      <c r="H14" s="69"/>
      <c r="I14" s="69"/>
      <c r="J14" s="71" t="n">
        <f aca="false">COUNTIF(B14:I14,"○")</f>
        <v>2</v>
      </c>
      <c r="K14" s="72" t="s">
        <v>134</v>
      </c>
    </row>
    <row r="15" customFormat="false" ht="15" hidden="false" customHeight="false" outlineLevel="0" collapsed="false">
      <c r="A15" s="68" t="n">
        <v>46234</v>
      </c>
      <c r="B15" s="69"/>
      <c r="C15" s="70" t="s">
        <v>168</v>
      </c>
      <c r="D15" s="69"/>
      <c r="E15" s="69"/>
      <c r="F15" s="70" t="s">
        <v>168</v>
      </c>
      <c r="G15" s="70" t="s">
        <v>168</v>
      </c>
      <c r="H15" s="70" t="s">
        <v>168</v>
      </c>
      <c r="I15" s="69"/>
      <c r="J15" s="71" t="n">
        <f aca="false">COUNTIF(B15:I15,"○")</f>
        <v>4</v>
      </c>
      <c r="K15" s="73" t="s">
        <v>135</v>
      </c>
    </row>
    <row r="16" customFormat="false" ht="15" hidden="false" customHeight="false" outlineLevel="0" collapsed="false">
      <c r="A16" s="68" t="n">
        <v>46235</v>
      </c>
      <c r="B16" s="69"/>
      <c r="C16" s="70" t="s">
        <v>168</v>
      </c>
      <c r="D16" s="69"/>
      <c r="E16" s="69"/>
      <c r="F16" s="69"/>
      <c r="G16" s="70" t="s">
        <v>168</v>
      </c>
      <c r="H16" s="70" t="s">
        <v>168</v>
      </c>
      <c r="I16" s="70" t="s">
        <v>168</v>
      </c>
      <c r="J16" s="71" t="n">
        <f aca="false">COUNTIF(B16:I16,"○")</f>
        <v>4</v>
      </c>
      <c r="K16" s="72" t="s">
        <v>134</v>
      </c>
    </row>
    <row r="17" customFormat="false" ht="15" hidden="false" customHeight="false" outlineLevel="0" collapsed="false">
      <c r="A17" s="68" t="n">
        <v>46236</v>
      </c>
      <c r="B17" s="69"/>
      <c r="C17" s="70" t="s">
        <v>168</v>
      </c>
      <c r="D17" s="69"/>
      <c r="E17" s="69"/>
      <c r="F17" s="69"/>
      <c r="G17" s="70" t="s">
        <v>168</v>
      </c>
      <c r="H17" s="69"/>
      <c r="I17" s="70" t="s">
        <v>168</v>
      </c>
      <c r="J17" s="71" t="n">
        <f aca="false">COUNTIF(B17:I17,"○")</f>
        <v>3</v>
      </c>
      <c r="K17" s="72" t="s">
        <v>134</v>
      </c>
    </row>
    <row r="18" customFormat="false" ht="15" hidden="false" customHeight="false" outlineLevel="0" collapsed="false">
      <c r="A18" s="68" t="n">
        <v>46238</v>
      </c>
      <c r="B18" s="69"/>
      <c r="C18" s="70" t="s">
        <v>168</v>
      </c>
      <c r="D18" s="70" t="s">
        <v>168</v>
      </c>
      <c r="E18" s="70" t="s">
        <v>168</v>
      </c>
      <c r="F18" s="69"/>
      <c r="G18" s="70" t="s">
        <v>168</v>
      </c>
      <c r="H18" s="69"/>
      <c r="I18" s="70" t="s">
        <v>168</v>
      </c>
      <c r="J18" s="71" t="n">
        <f aca="false">COUNTIF(B18:I18,"○")</f>
        <v>5</v>
      </c>
      <c r="K18" s="72" t="s">
        <v>134</v>
      </c>
    </row>
    <row r="19" customFormat="false" ht="15" hidden="false" customHeight="false" outlineLevel="0" collapsed="false">
      <c r="A19" s="68" t="n">
        <v>46245</v>
      </c>
      <c r="B19" s="69"/>
      <c r="C19" s="70" t="s">
        <v>168</v>
      </c>
      <c r="D19" s="69"/>
      <c r="E19" s="69"/>
      <c r="F19" s="69"/>
      <c r="G19" s="70" t="s">
        <v>168</v>
      </c>
      <c r="H19" s="70" t="s">
        <v>168</v>
      </c>
      <c r="I19" s="70" t="s">
        <v>168</v>
      </c>
      <c r="J19" s="71" t="n">
        <f aca="false">COUNTIF(B19:I19,"○")</f>
        <v>4</v>
      </c>
      <c r="K19" s="72" t="s">
        <v>134</v>
      </c>
    </row>
    <row r="20" customFormat="false" ht="15" hidden="false" customHeight="false" outlineLevel="0" collapsed="false">
      <c r="A20" s="68" t="n">
        <v>46246</v>
      </c>
      <c r="B20" s="69"/>
      <c r="C20" s="69"/>
      <c r="D20" s="69"/>
      <c r="E20" s="70" t="s">
        <v>168</v>
      </c>
      <c r="F20" s="70" t="s">
        <v>168</v>
      </c>
      <c r="G20" s="69"/>
      <c r="H20" s="70" t="s">
        <v>168</v>
      </c>
      <c r="I20" s="70" t="s">
        <v>168</v>
      </c>
      <c r="J20" s="71" t="n">
        <f aca="false">COUNTIF(B20:I20,"○")</f>
        <v>4</v>
      </c>
      <c r="K20" s="73" t="s">
        <v>135</v>
      </c>
    </row>
    <row r="21" customFormat="false" ht="15" hidden="false" customHeight="false" outlineLevel="0" collapsed="false">
      <c r="A21" s="68" t="n">
        <v>46247</v>
      </c>
      <c r="B21" s="69"/>
      <c r="C21" s="69"/>
      <c r="D21" s="69"/>
      <c r="E21" s="70" t="s">
        <v>168</v>
      </c>
      <c r="F21" s="69"/>
      <c r="G21" s="70" t="s">
        <v>168</v>
      </c>
      <c r="H21" s="69"/>
      <c r="I21" s="70" t="s">
        <v>168</v>
      </c>
      <c r="J21" s="71" t="n">
        <f aca="false">COUNTIF(B21:I21,"○")</f>
        <v>3</v>
      </c>
      <c r="K21" s="73" t="s">
        <v>135</v>
      </c>
    </row>
    <row r="22" customFormat="false" ht="15" hidden="false" customHeight="false" outlineLevel="0" collapsed="false">
      <c r="A22" s="68" t="n">
        <v>46248</v>
      </c>
      <c r="B22" s="69"/>
      <c r="C22" s="69"/>
      <c r="D22" s="69"/>
      <c r="E22" s="70" t="s">
        <v>168</v>
      </c>
      <c r="F22" s="70" t="s">
        <v>168</v>
      </c>
      <c r="G22" s="70" t="s">
        <v>168</v>
      </c>
      <c r="H22" s="70" t="s">
        <v>168</v>
      </c>
      <c r="I22" s="70" t="s">
        <v>168</v>
      </c>
      <c r="J22" s="71" t="n">
        <f aca="false">COUNTIF(B22:I22,"○")</f>
        <v>5</v>
      </c>
      <c r="K22" s="73" t="s">
        <v>135</v>
      </c>
    </row>
    <row r="23" customFormat="false" ht="15" hidden="false" customHeight="false" outlineLevel="0" collapsed="false">
      <c r="A23" s="68" t="n">
        <v>46249</v>
      </c>
      <c r="B23" s="69"/>
      <c r="C23" s="70" t="s">
        <v>168</v>
      </c>
      <c r="D23" s="69"/>
      <c r="E23" s="69"/>
      <c r="F23" s="70" t="s">
        <v>168</v>
      </c>
      <c r="G23" s="70" t="s">
        <v>168</v>
      </c>
      <c r="H23" s="70" t="s">
        <v>168</v>
      </c>
      <c r="I23" s="69"/>
      <c r="J23" s="71" t="n">
        <f aca="false">COUNTIF(B23:I23,"○")</f>
        <v>4</v>
      </c>
      <c r="K23" s="72" t="s">
        <v>134</v>
      </c>
    </row>
    <row r="24" customFormat="false" ht="15" hidden="false" customHeight="false" outlineLevel="0" collapsed="false">
      <c r="A24" s="68" t="n">
        <v>46250</v>
      </c>
      <c r="B24" s="69"/>
      <c r="C24" s="69"/>
      <c r="D24" s="69"/>
      <c r="E24" s="69"/>
      <c r="F24" s="69"/>
      <c r="G24" s="69"/>
      <c r="H24" s="69"/>
      <c r="I24" s="70" t="s">
        <v>168</v>
      </c>
      <c r="J24" s="71" t="n">
        <f aca="false">COUNTIF(B24:I24,"○")</f>
        <v>1</v>
      </c>
      <c r="K24" s="73" t="s">
        <v>135</v>
      </c>
    </row>
    <row r="25" customFormat="false" ht="15" hidden="false" customHeight="false" outlineLevel="0" collapsed="false">
      <c r="A25" s="68" t="n">
        <v>46251</v>
      </c>
      <c r="B25" s="69"/>
      <c r="C25" s="70" t="s">
        <v>168</v>
      </c>
      <c r="D25" s="69"/>
      <c r="E25" s="69"/>
      <c r="F25" s="70" t="s">
        <v>168</v>
      </c>
      <c r="G25" s="70" t="s">
        <v>168</v>
      </c>
      <c r="H25" s="70" t="s">
        <v>168</v>
      </c>
      <c r="I25" s="69"/>
      <c r="J25" s="71" t="n">
        <f aca="false">COUNTIF(B25:I25,"○")</f>
        <v>4</v>
      </c>
      <c r="K25" s="72" t="s">
        <v>134</v>
      </c>
    </row>
    <row r="26" customFormat="false" ht="15" hidden="false" customHeight="false" outlineLevel="0" collapsed="false">
      <c r="A26" s="68" t="n">
        <v>46252</v>
      </c>
      <c r="B26" s="69"/>
      <c r="C26" s="69"/>
      <c r="D26" s="69"/>
      <c r="E26" s="69"/>
      <c r="F26" s="69"/>
      <c r="G26" s="70" t="s">
        <v>168</v>
      </c>
      <c r="H26" s="69"/>
      <c r="I26" s="69"/>
      <c r="J26" s="71" t="n">
        <f aca="false">COUNTIF(B26:I26,"○")</f>
        <v>1</v>
      </c>
      <c r="K26" s="73" t="s">
        <v>135</v>
      </c>
    </row>
    <row r="27" customFormat="false" ht="15" hidden="false" customHeight="false" outlineLevel="0" collapsed="false">
      <c r="A27" s="68" t="n">
        <v>46254</v>
      </c>
      <c r="B27" s="69"/>
      <c r="C27" s="70" t="s">
        <v>168</v>
      </c>
      <c r="D27" s="69"/>
      <c r="E27" s="69"/>
      <c r="F27" s="69"/>
      <c r="G27" s="70" t="s">
        <v>168</v>
      </c>
      <c r="H27" s="70" t="s">
        <v>168</v>
      </c>
      <c r="I27" s="70" t="s">
        <v>168</v>
      </c>
      <c r="J27" s="71" t="n">
        <f aca="false">COUNTIF(B27:I27,"○")</f>
        <v>4</v>
      </c>
      <c r="K27" s="72" t="s">
        <v>134</v>
      </c>
    </row>
    <row r="28" customFormat="false" ht="15" hidden="false" customHeight="false" outlineLevel="0" collapsed="false">
      <c r="A28" s="68" t="n">
        <v>46256</v>
      </c>
      <c r="B28" s="69"/>
      <c r="C28" s="69"/>
      <c r="D28" s="69"/>
      <c r="E28" s="69"/>
      <c r="F28" s="69"/>
      <c r="G28" s="70" t="s">
        <v>168</v>
      </c>
      <c r="H28" s="69"/>
      <c r="I28" s="69"/>
      <c r="J28" s="71" t="n">
        <f aca="false">COUNTIF(B28:I28,"○")</f>
        <v>1</v>
      </c>
      <c r="K28" s="72" t="s">
        <v>134</v>
      </c>
    </row>
    <row r="29" customFormat="false" ht="15" hidden="false" customHeight="false" outlineLevel="0" collapsed="false">
      <c r="A29" s="68" t="n">
        <v>46257</v>
      </c>
      <c r="B29" s="69"/>
      <c r="C29" s="69"/>
      <c r="D29" s="69"/>
      <c r="E29" s="69"/>
      <c r="F29" s="69"/>
      <c r="G29" s="70" t="s">
        <v>168</v>
      </c>
      <c r="H29" s="70" t="s">
        <v>168</v>
      </c>
      <c r="I29" s="70" t="s">
        <v>168</v>
      </c>
      <c r="J29" s="71" t="n">
        <f aca="false">COUNTIF(B29:I29,"○")</f>
        <v>3</v>
      </c>
      <c r="K29" s="73" t="s">
        <v>135</v>
      </c>
    </row>
    <row r="30" customFormat="false" ht="15" hidden="false" customHeight="false" outlineLevel="0" collapsed="false">
      <c r="A30" s="68" t="n">
        <v>46258</v>
      </c>
      <c r="B30" s="69"/>
      <c r="C30" s="70" t="s">
        <v>168</v>
      </c>
      <c r="D30" s="69"/>
      <c r="E30" s="69"/>
      <c r="F30" s="69"/>
      <c r="G30" s="70" t="s">
        <v>168</v>
      </c>
      <c r="H30" s="69"/>
      <c r="I30" s="69"/>
      <c r="J30" s="71" t="n">
        <f aca="false">COUNTIF(B30:I30,"○")</f>
        <v>2</v>
      </c>
      <c r="K30" s="73" t="s">
        <v>135</v>
      </c>
    </row>
    <row r="31" customFormat="false" ht="15" hidden="false" customHeight="false" outlineLevel="0" collapsed="false">
      <c r="A31" s="68" t="n">
        <v>46259</v>
      </c>
      <c r="B31" s="69"/>
      <c r="C31" s="70" t="s">
        <v>168</v>
      </c>
      <c r="D31" s="69"/>
      <c r="E31" s="69"/>
      <c r="F31" s="70" t="s">
        <v>168</v>
      </c>
      <c r="G31" s="69"/>
      <c r="H31" s="69"/>
      <c r="I31" s="69"/>
      <c r="J31" s="71" t="n">
        <f aca="false">COUNTIF(B31:I31,"○")</f>
        <v>2</v>
      </c>
      <c r="K31" s="72" t="s">
        <v>134</v>
      </c>
    </row>
    <row r="32" customFormat="false" ht="15" hidden="false" customHeight="false" outlineLevel="0" collapsed="false">
      <c r="A32" s="68" t="n">
        <v>46260</v>
      </c>
      <c r="B32" s="69"/>
      <c r="C32" s="69"/>
      <c r="D32" s="69"/>
      <c r="E32" s="69"/>
      <c r="F32" s="70" t="s">
        <v>168</v>
      </c>
      <c r="G32" s="70" t="s">
        <v>168</v>
      </c>
      <c r="H32" s="70" t="s">
        <v>168</v>
      </c>
      <c r="I32" s="70" t="s">
        <v>168</v>
      </c>
      <c r="J32" s="71" t="n">
        <f aca="false">COUNTIF(B32:I32,"○")</f>
        <v>4</v>
      </c>
      <c r="K32" s="72" t="s">
        <v>134</v>
      </c>
    </row>
    <row r="33" customFormat="false" ht="15" hidden="false" customHeight="false" outlineLevel="0" collapsed="false">
      <c r="A33" s="68" t="n">
        <v>46261</v>
      </c>
      <c r="B33" s="69"/>
      <c r="C33" s="69"/>
      <c r="D33" s="69"/>
      <c r="E33" s="69"/>
      <c r="F33" s="70" t="s">
        <v>168</v>
      </c>
      <c r="G33" s="70" t="s">
        <v>168</v>
      </c>
      <c r="H33" s="70" t="s">
        <v>168</v>
      </c>
      <c r="I33" s="70" t="s">
        <v>168</v>
      </c>
      <c r="J33" s="71" t="n">
        <f aca="false">COUNTIF(B33:I33,"○")</f>
        <v>4</v>
      </c>
      <c r="K33" s="72" t="s">
        <v>134</v>
      </c>
    </row>
    <row r="34" customFormat="false" ht="15" hidden="false" customHeight="false" outlineLevel="0" collapsed="false">
      <c r="A34" s="68" t="n">
        <v>46262</v>
      </c>
      <c r="B34" s="69"/>
      <c r="C34" s="70" t="s">
        <v>168</v>
      </c>
      <c r="D34" s="69"/>
      <c r="E34" s="69"/>
      <c r="F34" s="69"/>
      <c r="G34" s="70" t="s">
        <v>168</v>
      </c>
      <c r="H34" s="70" t="s">
        <v>168</v>
      </c>
      <c r="I34" s="69"/>
      <c r="J34" s="71" t="n">
        <f aca="false">COUNTIF(B34:I34,"○")</f>
        <v>3</v>
      </c>
      <c r="K34" s="73" t="s">
        <v>135</v>
      </c>
    </row>
    <row r="35" customFormat="false" ht="15" hidden="false" customHeight="false" outlineLevel="0" collapsed="false">
      <c r="A35" s="68" t="n">
        <v>46263</v>
      </c>
      <c r="B35" s="69"/>
      <c r="C35" s="70" t="s">
        <v>168</v>
      </c>
      <c r="D35" s="69"/>
      <c r="E35" s="69"/>
      <c r="F35" s="70" t="s">
        <v>168</v>
      </c>
      <c r="G35" s="70" t="s">
        <v>168</v>
      </c>
      <c r="H35" s="69"/>
      <c r="I35" s="69"/>
      <c r="J35" s="71" t="n">
        <f aca="false">COUNTIF(B35:I35,"○")</f>
        <v>3</v>
      </c>
      <c r="K35" s="72" t="s">
        <v>134</v>
      </c>
    </row>
    <row r="36" customFormat="false" ht="15" hidden="false" customHeight="false" outlineLevel="0" collapsed="false">
      <c r="A36" s="68" t="n">
        <v>46264</v>
      </c>
      <c r="B36" s="69"/>
      <c r="C36" s="69"/>
      <c r="D36" s="69"/>
      <c r="E36" s="70" t="s">
        <v>168</v>
      </c>
      <c r="F36" s="70" t="s">
        <v>168</v>
      </c>
      <c r="G36" s="69"/>
      <c r="H36" s="70" t="s">
        <v>168</v>
      </c>
      <c r="I36" s="69"/>
      <c r="J36" s="71" t="n">
        <f aca="false">COUNTIF(B36:I36,"○")</f>
        <v>3</v>
      </c>
      <c r="K36" s="72" t="s">
        <v>134</v>
      </c>
    </row>
    <row r="37" customFormat="false" ht="15" hidden="false" customHeight="false" outlineLevel="0" collapsed="false">
      <c r="A37" s="68" t="n">
        <v>46265</v>
      </c>
      <c r="B37" s="69"/>
      <c r="C37" s="70" t="s">
        <v>168</v>
      </c>
      <c r="D37" s="69"/>
      <c r="E37" s="69"/>
      <c r="F37" s="69"/>
      <c r="G37" s="70" t="s">
        <v>168</v>
      </c>
      <c r="H37" s="70" t="s">
        <v>168</v>
      </c>
      <c r="I37" s="69"/>
      <c r="J37" s="71" t="n">
        <f aca="false">COUNTIF(B37:I37,"○")</f>
        <v>3</v>
      </c>
      <c r="K37" s="72" t="s">
        <v>134</v>
      </c>
    </row>
    <row r="38" customFormat="false" ht="15" hidden="false" customHeight="false" outlineLevel="0" collapsed="false">
      <c r="A38" s="68" t="n">
        <v>46266</v>
      </c>
      <c r="B38" s="69"/>
      <c r="C38" s="70" t="s">
        <v>168</v>
      </c>
      <c r="D38" s="69"/>
      <c r="E38" s="70" t="s">
        <v>168</v>
      </c>
      <c r="F38" s="69"/>
      <c r="G38" s="70" t="s">
        <v>168</v>
      </c>
      <c r="H38" s="69"/>
      <c r="I38" s="69"/>
      <c r="J38" s="71" t="n">
        <f aca="false">COUNTIF(B38:I38,"○")</f>
        <v>3</v>
      </c>
      <c r="K38" s="72" t="s">
        <v>134</v>
      </c>
    </row>
    <row r="39" customFormat="false" ht="15" hidden="false" customHeight="false" outlineLevel="0" collapsed="false">
      <c r="A39" s="68" t="n">
        <v>46267</v>
      </c>
      <c r="B39" s="69"/>
      <c r="C39" s="69"/>
      <c r="D39" s="69"/>
      <c r="E39" s="69"/>
      <c r="F39" s="70" t="s">
        <v>168</v>
      </c>
      <c r="G39" s="70" t="s">
        <v>168</v>
      </c>
      <c r="H39" s="70" t="s">
        <v>168</v>
      </c>
      <c r="I39" s="69"/>
      <c r="J39" s="71" t="n">
        <f aca="false">COUNTIF(B39:I39,"○")</f>
        <v>3</v>
      </c>
      <c r="K39" s="72" t="s">
        <v>134</v>
      </c>
    </row>
    <row r="40" customFormat="false" ht="15" hidden="false" customHeight="false" outlineLevel="0" collapsed="false">
      <c r="A40" s="68" t="n">
        <v>46268</v>
      </c>
      <c r="B40" s="69"/>
      <c r="C40" s="70" t="s">
        <v>168</v>
      </c>
      <c r="D40" s="69"/>
      <c r="E40" s="69"/>
      <c r="F40" s="69"/>
      <c r="G40" s="70" t="s">
        <v>168</v>
      </c>
      <c r="H40" s="70" t="s">
        <v>168</v>
      </c>
      <c r="I40" s="70" t="s">
        <v>168</v>
      </c>
      <c r="J40" s="71" t="n">
        <f aca="false">COUNTIF(B40:I40,"○")</f>
        <v>4</v>
      </c>
      <c r="K40" s="72" t="s">
        <v>134</v>
      </c>
    </row>
    <row r="41" customFormat="false" ht="15" hidden="false" customHeight="false" outlineLevel="0" collapsed="false">
      <c r="A41" s="68" t="n">
        <v>46269</v>
      </c>
      <c r="B41" s="69"/>
      <c r="C41" s="69"/>
      <c r="D41" s="69"/>
      <c r="E41" s="69"/>
      <c r="F41" s="70" t="s">
        <v>168</v>
      </c>
      <c r="G41" s="70" t="s">
        <v>168</v>
      </c>
      <c r="H41" s="70" t="s">
        <v>168</v>
      </c>
      <c r="I41" s="69"/>
      <c r="J41" s="71" t="n">
        <f aca="false">COUNTIF(B41:I41,"○")</f>
        <v>3</v>
      </c>
      <c r="K41" s="72" t="s">
        <v>134</v>
      </c>
    </row>
    <row r="42" customFormat="false" ht="15" hidden="false" customHeight="false" outlineLevel="0" collapsed="false">
      <c r="A42" s="68" t="n">
        <v>46270</v>
      </c>
      <c r="B42" s="69"/>
      <c r="C42" s="69"/>
      <c r="D42" s="69"/>
      <c r="E42" s="70" t="s">
        <v>168</v>
      </c>
      <c r="F42" s="69"/>
      <c r="G42" s="70" t="s">
        <v>168</v>
      </c>
      <c r="H42" s="69"/>
      <c r="I42" s="69"/>
      <c r="J42" s="71" t="n">
        <f aca="false">COUNTIF(B42:I42,"○")</f>
        <v>2</v>
      </c>
      <c r="K42" s="72" t="s">
        <v>134</v>
      </c>
    </row>
    <row r="43" customFormat="false" ht="15" hidden="false" customHeight="false" outlineLevel="0" collapsed="false">
      <c r="A43" s="68" t="n">
        <v>46271</v>
      </c>
      <c r="B43" s="70" t="s">
        <v>168</v>
      </c>
      <c r="C43" s="69"/>
      <c r="D43" s="69"/>
      <c r="E43" s="69"/>
      <c r="F43" s="69"/>
      <c r="G43" s="70" t="s">
        <v>168</v>
      </c>
      <c r="H43" s="69"/>
      <c r="I43" s="70" t="s">
        <v>168</v>
      </c>
      <c r="J43" s="71" t="n">
        <f aca="false">COUNTIF(B43:I43,"○")</f>
        <v>3</v>
      </c>
      <c r="K43" s="72" t="s">
        <v>134</v>
      </c>
    </row>
    <row r="44" customFormat="false" ht="15" hidden="false" customHeight="false" outlineLevel="0" collapsed="false">
      <c r="A44" s="68" t="n">
        <v>46272</v>
      </c>
      <c r="B44" s="69"/>
      <c r="C44" s="70" t="s">
        <v>168</v>
      </c>
      <c r="D44" s="69"/>
      <c r="E44" s="69"/>
      <c r="F44" s="70" t="s">
        <v>168</v>
      </c>
      <c r="G44" s="69"/>
      <c r="H44" s="69"/>
      <c r="I44" s="70" t="s">
        <v>168</v>
      </c>
      <c r="J44" s="71" t="n">
        <f aca="false">COUNTIF(B44:I44,"○")</f>
        <v>3</v>
      </c>
      <c r="K44" s="72" t="s">
        <v>134</v>
      </c>
    </row>
    <row r="45" customFormat="false" ht="15" hidden="false" customHeight="false" outlineLevel="0" collapsed="false">
      <c r="A45" s="68" t="n">
        <v>46273</v>
      </c>
      <c r="B45" s="69"/>
      <c r="C45" s="69"/>
      <c r="D45" s="69"/>
      <c r="E45" s="70" t="s">
        <v>168</v>
      </c>
      <c r="F45" s="69"/>
      <c r="G45" s="70" t="s">
        <v>168</v>
      </c>
      <c r="H45" s="69"/>
      <c r="I45" s="69"/>
      <c r="J45" s="71" t="n">
        <f aca="false">COUNTIF(B45:I45,"○")</f>
        <v>2</v>
      </c>
      <c r="K45" s="72" t="s">
        <v>134</v>
      </c>
    </row>
    <row r="46" customFormat="false" ht="15" hidden="false" customHeight="false" outlineLevel="0" collapsed="false">
      <c r="A46" s="68" t="n">
        <v>46274</v>
      </c>
      <c r="B46" s="69"/>
      <c r="C46" s="69"/>
      <c r="D46" s="69"/>
      <c r="E46" s="69"/>
      <c r="F46" s="70" t="s">
        <v>168</v>
      </c>
      <c r="G46" s="70" t="s">
        <v>168</v>
      </c>
      <c r="H46" s="70" t="s">
        <v>168</v>
      </c>
      <c r="I46" s="69"/>
      <c r="J46" s="71" t="n">
        <f aca="false">COUNTIF(B46:I46,"○")</f>
        <v>3</v>
      </c>
      <c r="K46" s="73" t="s">
        <v>135</v>
      </c>
    </row>
    <row r="47" customFormat="false" ht="15" hidden="false" customHeight="false" outlineLevel="0" collapsed="false">
      <c r="A47" s="68" t="n">
        <v>46275</v>
      </c>
      <c r="B47" s="69"/>
      <c r="C47" s="69"/>
      <c r="D47" s="70" t="s">
        <v>168</v>
      </c>
      <c r="E47" s="70" t="s">
        <v>168</v>
      </c>
      <c r="F47" s="69"/>
      <c r="G47" s="70" t="s">
        <v>168</v>
      </c>
      <c r="H47" s="69"/>
      <c r="I47" s="70" t="s">
        <v>168</v>
      </c>
      <c r="J47" s="71" t="n">
        <f aca="false">COUNTIF(B47:I47,"○")</f>
        <v>4</v>
      </c>
      <c r="K47" s="72" t="s">
        <v>134</v>
      </c>
    </row>
    <row r="48" customFormat="false" ht="15" hidden="false" customHeight="false" outlineLevel="0" collapsed="false">
      <c r="A48" s="68" t="n">
        <v>46276</v>
      </c>
      <c r="B48" s="69"/>
      <c r="C48" s="69"/>
      <c r="D48" s="69"/>
      <c r="E48" s="69"/>
      <c r="F48" s="70" t="s">
        <v>168</v>
      </c>
      <c r="G48" s="70" t="s">
        <v>168</v>
      </c>
      <c r="H48" s="70" t="s">
        <v>168</v>
      </c>
      <c r="I48" s="69"/>
      <c r="J48" s="71" t="n">
        <f aca="false">COUNTIF(B48:I48,"○")</f>
        <v>3</v>
      </c>
      <c r="K48" s="72" t="s">
        <v>134</v>
      </c>
    </row>
    <row r="49" customFormat="false" ht="15" hidden="false" customHeight="false" outlineLevel="0" collapsed="false">
      <c r="A49" s="68" t="n">
        <v>46277</v>
      </c>
      <c r="B49" s="69"/>
      <c r="C49" s="70" t="s">
        <v>168</v>
      </c>
      <c r="D49" s="69"/>
      <c r="E49" s="70" t="s">
        <v>168</v>
      </c>
      <c r="F49" s="69"/>
      <c r="G49" s="70" t="s">
        <v>168</v>
      </c>
      <c r="H49" s="69"/>
      <c r="I49" s="70" t="s">
        <v>168</v>
      </c>
      <c r="J49" s="71" t="n">
        <f aca="false">COUNTIF(B49:I49,"○")</f>
        <v>4</v>
      </c>
      <c r="K49" s="73" t="s">
        <v>135</v>
      </c>
    </row>
    <row r="50" customFormat="false" ht="15" hidden="false" customHeight="false" outlineLevel="0" collapsed="false">
      <c r="A50" s="68" t="n">
        <v>46278</v>
      </c>
      <c r="B50" s="70" t="s">
        <v>168</v>
      </c>
      <c r="C50" s="70" t="s">
        <v>168</v>
      </c>
      <c r="D50" s="69"/>
      <c r="E50" s="70" t="s">
        <v>168</v>
      </c>
      <c r="F50" s="69"/>
      <c r="G50" s="70" t="s">
        <v>168</v>
      </c>
      <c r="H50" s="70" t="s">
        <v>168</v>
      </c>
      <c r="I50" s="70" t="s">
        <v>168</v>
      </c>
      <c r="J50" s="71" t="n">
        <f aca="false">COUNTIF(B50:I50,"○")</f>
        <v>6</v>
      </c>
      <c r="K50" s="73" t="s">
        <v>135</v>
      </c>
    </row>
    <row r="51" customFormat="false" ht="15" hidden="false" customHeight="false" outlineLevel="0" collapsed="false">
      <c r="A51" s="68" t="n">
        <v>46279</v>
      </c>
      <c r="B51" s="69"/>
      <c r="C51" s="69"/>
      <c r="D51" s="69"/>
      <c r="E51" s="69"/>
      <c r="F51" s="69"/>
      <c r="G51" s="70" t="s">
        <v>168</v>
      </c>
      <c r="H51" s="70" t="s">
        <v>168</v>
      </c>
      <c r="I51" s="70" t="s">
        <v>168</v>
      </c>
      <c r="J51" s="71" t="n">
        <f aca="false">COUNTIF(B51:I51,"○")</f>
        <v>3</v>
      </c>
      <c r="K51" s="73" t="s">
        <v>135</v>
      </c>
    </row>
    <row r="52" customFormat="false" ht="15" hidden="false" customHeight="false" outlineLevel="0" collapsed="false">
      <c r="A52" s="68" t="n">
        <v>46280</v>
      </c>
      <c r="B52" s="69"/>
      <c r="C52" s="69"/>
      <c r="D52" s="69"/>
      <c r="E52" s="69"/>
      <c r="F52" s="70" t="s">
        <v>168</v>
      </c>
      <c r="G52" s="70" t="s">
        <v>168</v>
      </c>
      <c r="H52" s="70" t="s">
        <v>168</v>
      </c>
      <c r="I52" s="69"/>
      <c r="J52" s="71" t="n">
        <f aca="false">COUNTIF(B52:I52,"○")</f>
        <v>3</v>
      </c>
      <c r="K52" s="73" t="s">
        <v>135</v>
      </c>
    </row>
    <row r="53" customFormat="false" ht="15" hidden="false" customHeight="false" outlineLevel="0" collapsed="false">
      <c r="A53" s="68" t="n">
        <v>46281</v>
      </c>
      <c r="B53" s="69"/>
      <c r="C53" s="70" t="s">
        <v>168</v>
      </c>
      <c r="D53" s="69"/>
      <c r="E53" s="70" t="s">
        <v>168</v>
      </c>
      <c r="F53" s="69"/>
      <c r="G53" s="70" t="s">
        <v>168</v>
      </c>
      <c r="H53" s="69"/>
      <c r="I53" s="69"/>
      <c r="J53" s="71" t="n">
        <f aca="false">COUNTIF(B53:I53,"○")</f>
        <v>3</v>
      </c>
      <c r="K53" s="73" t="s">
        <v>135</v>
      </c>
    </row>
    <row r="54" customFormat="false" ht="15" hidden="false" customHeight="false" outlineLevel="0" collapsed="false">
      <c r="A54" s="68" t="n">
        <v>46282</v>
      </c>
      <c r="B54" s="69"/>
      <c r="C54" s="70" t="s">
        <v>168</v>
      </c>
      <c r="D54" s="70" t="s">
        <v>168</v>
      </c>
      <c r="E54" s="69"/>
      <c r="F54" s="69"/>
      <c r="G54" s="70" t="s">
        <v>168</v>
      </c>
      <c r="H54" s="69"/>
      <c r="I54" s="70" t="s">
        <v>168</v>
      </c>
      <c r="J54" s="71" t="n">
        <f aca="false">COUNTIF(B54:I54,"○")</f>
        <v>4</v>
      </c>
      <c r="K54" s="73" t="s">
        <v>135</v>
      </c>
    </row>
    <row r="55" customFormat="false" ht="15" hidden="false" customHeight="false" outlineLevel="0" collapsed="false">
      <c r="A55" s="68" t="n">
        <v>46283</v>
      </c>
      <c r="B55" s="69"/>
      <c r="C55" s="70" t="s">
        <v>168</v>
      </c>
      <c r="D55" s="69"/>
      <c r="E55" s="70" t="s">
        <v>168</v>
      </c>
      <c r="F55" s="70" t="s">
        <v>168</v>
      </c>
      <c r="G55" s="70" t="s">
        <v>168</v>
      </c>
      <c r="H55" s="69"/>
      <c r="I55" s="69"/>
      <c r="J55" s="71" t="n">
        <f aca="false">COUNTIF(B55:I55,"○")</f>
        <v>4</v>
      </c>
      <c r="K55" s="72" t="s">
        <v>134</v>
      </c>
    </row>
    <row r="56" customFormat="false" ht="15" hidden="false" customHeight="false" outlineLevel="0" collapsed="false">
      <c r="A56" s="68" t="n">
        <v>46284</v>
      </c>
      <c r="B56" s="69"/>
      <c r="C56" s="69"/>
      <c r="D56" s="69"/>
      <c r="E56" s="69"/>
      <c r="F56" s="69"/>
      <c r="G56" s="70" t="s">
        <v>168</v>
      </c>
      <c r="H56" s="69"/>
      <c r="I56" s="70" t="s">
        <v>168</v>
      </c>
      <c r="J56" s="71" t="n">
        <f aca="false">COUNTIF(B56:I56,"○")</f>
        <v>2</v>
      </c>
      <c r="K56" s="73" t="s">
        <v>135</v>
      </c>
    </row>
    <row r="57" customFormat="false" ht="15" hidden="false" customHeight="false" outlineLevel="0" collapsed="false">
      <c r="A57" s="68" t="n">
        <v>46285</v>
      </c>
      <c r="B57" s="69"/>
      <c r="C57" s="70" t="s">
        <v>168</v>
      </c>
      <c r="D57" s="69"/>
      <c r="E57" s="69"/>
      <c r="F57" s="70" t="s">
        <v>168</v>
      </c>
      <c r="G57" s="70" t="s">
        <v>168</v>
      </c>
      <c r="H57" s="70" t="s">
        <v>168</v>
      </c>
      <c r="I57" s="70" t="s">
        <v>168</v>
      </c>
      <c r="J57" s="71" t="n">
        <f aca="false">COUNTIF(B57:I57,"○")</f>
        <v>5</v>
      </c>
      <c r="K57" s="73" t="s">
        <v>135</v>
      </c>
    </row>
    <row r="58" customFormat="false" ht="15" hidden="false" customHeight="false" outlineLevel="0" collapsed="false">
      <c r="A58" s="68" t="n">
        <v>46286</v>
      </c>
      <c r="B58" s="69"/>
      <c r="C58" s="70" t="s">
        <v>168</v>
      </c>
      <c r="D58" s="69"/>
      <c r="E58" s="69"/>
      <c r="F58" s="70" t="s">
        <v>168</v>
      </c>
      <c r="G58" s="70" t="s">
        <v>168</v>
      </c>
      <c r="H58" s="69"/>
      <c r="I58" s="70" t="s">
        <v>168</v>
      </c>
      <c r="J58" s="71" t="n">
        <f aca="false">COUNTIF(B58:I58,"○")</f>
        <v>4</v>
      </c>
      <c r="K58" s="73" t="s">
        <v>135</v>
      </c>
    </row>
    <row r="59" customFormat="false" ht="15" hidden="false" customHeight="false" outlineLevel="0" collapsed="false">
      <c r="A59" s="68" t="n">
        <v>46287</v>
      </c>
      <c r="B59" s="69"/>
      <c r="C59" s="69"/>
      <c r="D59" s="69"/>
      <c r="E59" s="70" t="s">
        <v>168</v>
      </c>
      <c r="F59" s="70" t="s">
        <v>168</v>
      </c>
      <c r="G59" s="70" t="s">
        <v>168</v>
      </c>
      <c r="H59" s="69"/>
      <c r="I59" s="70" t="s">
        <v>168</v>
      </c>
      <c r="J59" s="71" t="n">
        <f aca="false">COUNTIF(B59:I59,"○")</f>
        <v>4</v>
      </c>
      <c r="K59" s="73" t="s">
        <v>135</v>
      </c>
    </row>
    <row r="60" customFormat="false" ht="15" hidden="false" customHeight="false" outlineLevel="0" collapsed="false">
      <c r="A60" s="68" t="n">
        <v>46288</v>
      </c>
      <c r="B60" s="69"/>
      <c r="C60" s="69"/>
      <c r="D60" s="69"/>
      <c r="E60" s="70" t="s">
        <v>168</v>
      </c>
      <c r="F60" s="70" t="s">
        <v>168</v>
      </c>
      <c r="G60" s="70" t="s">
        <v>168</v>
      </c>
      <c r="H60" s="69"/>
      <c r="I60" s="70" t="s">
        <v>168</v>
      </c>
      <c r="J60" s="71" t="n">
        <f aca="false">COUNTIF(B60:I60,"○")</f>
        <v>4</v>
      </c>
      <c r="K60" s="72" t="s">
        <v>134</v>
      </c>
    </row>
    <row r="61" customFormat="false" ht="15" hidden="false" customHeight="false" outlineLevel="0" collapsed="false">
      <c r="A61" s="68" t="n">
        <v>46289</v>
      </c>
      <c r="B61" s="70" t="s">
        <v>168</v>
      </c>
      <c r="C61" s="69"/>
      <c r="D61" s="69"/>
      <c r="E61" s="70" t="s">
        <v>168</v>
      </c>
      <c r="F61" s="70" t="s">
        <v>168</v>
      </c>
      <c r="G61" s="70" t="s">
        <v>168</v>
      </c>
      <c r="H61" s="69"/>
      <c r="I61" s="70" t="s">
        <v>168</v>
      </c>
      <c r="J61" s="71" t="n">
        <f aca="false">COUNTIF(B61:I61,"○")</f>
        <v>5</v>
      </c>
      <c r="K61" s="72" t="s">
        <v>134</v>
      </c>
    </row>
    <row r="62" customFormat="false" ht="15" hidden="false" customHeight="false" outlineLevel="0" collapsed="false">
      <c r="A62" s="68" t="n">
        <v>46290</v>
      </c>
      <c r="B62" s="69"/>
      <c r="C62" s="70" t="s">
        <v>168</v>
      </c>
      <c r="D62" s="69"/>
      <c r="E62" s="69"/>
      <c r="F62" s="69"/>
      <c r="G62" s="70" t="s">
        <v>168</v>
      </c>
      <c r="H62" s="69"/>
      <c r="I62" s="70" t="s">
        <v>168</v>
      </c>
      <c r="J62" s="71" t="n">
        <f aca="false">COUNTIF(B62:I62,"○")</f>
        <v>3</v>
      </c>
      <c r="K62" s="73" t="s">
        <v>135</v>
      </c>
    </row>
    <row r="63" customFormat="false" ht="15" hidden="false" customHeight="false" outlineLevel="0" collapsed="false">
      <c r="A63" s="68" t="n">
        <v>46291</v>
      </c>
      <c r="B63" s="69"/>
      <c r="C63" s="70" t="s">
        <v>168</v>
      </c>
      <c r="D63" s="69"/>
      <c r="E63" s="69"/>
      <c r="F63" s="69"/>
      <c r="G63" s="70" t="s">
        <v>168</v>
      </c>
      <c r="H63" s="70" t="s">
        <v>168</v>
      </c>
      <c r="I63" s="69"/>
      <c r="J63" s="71" t="n">
        <f aca="false">COUNTIF(B63:I63,"○")</f>
        <v>3</v>
      </c>
      <c r="K63" s="72" t="s">
        <v>134</v>
      </c>
    </row>
    <row r="64" customFormat="false" ht="15" hidden="false" customHeight="false" outlineLevel="0" collapsed="false">
      <c r="A64" s="68" t="n">
        <v>46292</v>
      </c>
      <c r="B64" s="69"/>
      <c r="C64" s="69"/>
      <c r="D64" s="69"/>
      <c r="E64" s="69"/>
      <c r="F64" s="69"/>
      <c r="G64" s="70" t="s">
        <v>168</v>
      </c>
      <c r="H64" s="69"/>
      <c r="I64" s="70" t="s">
        <v>168</v>
      </c>
      <c r="J64" s="71" t="n">
        <f aca="false">COUNTIF(B64:I64,"○")</f>
        <v>2</v>
      </c>
      <c r="K64" s="73" t="s">
        <v>135</v>
      </c>
    </row>
    <row r="65" customFormat="false" ht="15" hidden="false" customHeight="false" outlineLevel="0" collapsed="false">
      <c r="A65" s="68" t="n">
        <v>46293</v>
      </c>
      <c r="B65" s="69"/>
      <c r="C65" s="69"/>
      <c r="D65" s="69"/>
      <c r="E65" s="69"/>
      <c r="F65" s="69"/>
      <c r="G65" s="70" t="s">
        <v>168</v>
      </c>
      <c r="H65" s="69"/>
      <c r="I65" s="70" t="s">
        <v>168</v>
      </c>
      <c r="J65" s="71" t="n">
        <f aca="false">COUNTIF(B65:I65,"○")</f>
        <v>2</v>
      </c>
      <c r="K65" s="73" t="s">
        <v>135</v>
      </c>
    </row>
    <row r="66" customFormat="false" ht="15" hidden="false" customHeight="false" outlineLevel="0" collapsed="false">
      <c r="A66" s="68" t="n">
        <v>46294</v>
      </c>
      <c r="B66" s="69"/>
      <c r="C66" s="69"/>
      <c r="D66" s="69"/>
      <c r="E66" s="69"/>
      <c r="F66" s="70" t="s">
        <v>168</v>
      </c>
      <c r="G66" s="70" t="s">
        <v>168</v>
      </c>
      <c r="H66" s="69"/>
      <c r="I66" s="70" t="s">
        <v>168</v>
      </c>
      <c r="J66" s="71" t="n">
        <f aca="false">COUNTIF(B66:I66,"○")</f>
        <v>3</v>
      </c>
      <c r="K66" s="73" t="s">
        <v>135</v>
      </c>
    </row>
    <row r="67" customFormat="false" ht="15" hidden="false" customHeight="false" outlineLevel="0" collapsed="false">
      <c r="A67" s="68" t="n">
        <v>46295</v>
      </c>
      <c r="B67" s="69"/>
      <c r="C67" s="69"/>
      <c r="D67" s="69"/>
      <c r="E67" s="69"/>
      <c r="F67" s="69"/>
      <c r="G67" s="70" t="s">
        <v>168</v>
      </c>
      <c r="H67" s="70" t="s">
        <v>168</v>
      </c>
      <c r="I67" s="70" t="s">
        <v>168</v>
      </c>
      <c r="J67" s="71" t="n">
        <f aca="false">COUNTIF(B67:I67,"○")</f>
        <v>3</v>
      </c>
      <c r="K67" s="72" t="s">
        <v>134</v>
      </c>
    </row>
    <row r="68" customFormat="false" ht="15" hidden="false" customHeight="false" outlineLevel="0" collapsed="false">
      <c r="A68" s="68" t="n">
        <v>46297</v>
      </c>
      <c r="B68" s="69"/>
      <c r="C68" s="70" t="s">
        <v>168</v>
      </c>
      <c r="D68" s="69"/>
      <c r="E68" s="69"/>
      <c r="F68" s="69"/>
      <c r="G68" s="70" t="s">
        <v>168</v>
      </c>
      <c r="H68" s="69"/>
      <c r="I68" s="69"/>
      <c r="J68" s="71" t="n">
        <f aca="false">COUNTIF(B68:I68,"○")</f>
        <v>2</v>
      </c>
      <c r="K68" s="73" t="s">
        <v>135</v>
      </c>
    </row>
    <row r="69" customFormat="false" ht="15" hidden="false" customHeight="false" outlineLevel="0" collapsed="false">
      <c r="A69" s="68" t="n">
        <v>46299</v>
      </c>
      <c r="B69" s="69"/>
      <c r="C69" s="69"/>
      <c r="D69" s="69"/>
      <c r="E69" s="69"/>
      <c r="F69" s="69"/>
      <c r="G69" s="70" t="s">
        <v>168</v>
      </c>
      <c r="H69" s="69"/>
      <c r="I69" s="69"/>
      <c r="J69" s="71" t="n">
        <f aca="false">COUNTIF(B69:I69,"○")</f>
        <v>1</v>
      </c>
      <c r="K69" s="73" t="s">
        <v>135</v>
      </c>
    </row>
    <row r="70" customFormat="false" ht="15" hidden="false" customHeight="false" outlineLevel="0" collapsed="false">
      <c r="A70" s="74" t="s">
        <v>169</v>
      </c>
      <c r="B70" s="74" t="n">
        <f aca="false">COUNTIF(B6:B69,"○")</f>
        <v>4</v>
      </c>
      <c r="C70" s="74" t="n">
        <f aca="false">COUNTIF(C6:C69,"○")</f>
        <v>31</v>
      </c>
      <c r="D70" s="74" t="n">
        <f aca="false">COUNTIF(D6:D69,"○")</f>
        <v>3</v>
      </c>
      <c r="E70" s="74" t="n">
        <f aca="false">COUNTIF(E6:E69,"○")</f>
        <v>20</v>
      </c>
      <c r="F70" s="74" t="n">
        <f aca="false">COUNTIF(F6:F69,"○")</f>
        <v>24</v>
      </c>
      <c r="G70" s="74" t="n">
        <f aca="false">COUNTIF(G6:G69,"○")</f>
        <v>59</v>
      </c>
      <c r="H70" s="74" t="n">
        <f aca="false">COUNTIF(H6:H69,"○")</f>
        <v>25</v>
      </c>
      <c r="I70" s="74" t="n">
        <f aca="false">COUNTIF(I6:I69,"○")</f>
        <v>38</v>
      </c>
      <c r="J70" s="75" t="n">
        <f aca="false">AVERAGE(J6:J69)</f>
        <v>3.1875</v>
      </c>
      <c r="K70" s="74" t="n">
        <f aca="false">COUNTIF(K6:K69,"はい")</f>
        <v>36</v>
      </c>
    </row>
    <row r="71" customFormat="false" ht="15" hidden="false" customHeight="false" outlineLevel="0" collapsed="false">
      <c r="A71" s="76" t="s">
        <v>170</v>
      </c>
      <c r="B71" s="77" t="n">
        <v>4</v>
      </c>
      <c r="C71" s="77" t="n">
        <v>20</v>
      </c>
      <c r="D71" s="77" t="n">
        <v>4</v>
      </c>
      <c r="E71" s="77" t="n">
        <v>8</v>
      </c>
      <c r="F71" s="77" t="n">
        <v>22</v>
      </c>
      <c r="G71" s="77" t="n">
        <v>33</v>
      </c>
      <c r="H71" s="77" t="n">
        <v>15</v>
      </c>
      <c r="I71" s="77" t="n">
        <v>15</v>
      </c>
      <c r="J71" s="77" t="n">
        <v>2.28</v>
      </c>
      <c r="K71" s="77" t="n">
        <v>32</v>
      </c>
    </row>
    <row r="73" customFormat="false" ht="18" hidden="false" customHeight="true" outlineLevel="0" collapsed="false">
      <c r="A73" s="78" t="s">
        <v>171</v>
      </c>
      <c r="B73" s="78"/>
      <c r="C73" s="78"/>
      <c r="D73" s="78"/>
      <c r="E73" s="78"/>
      <c r="F73" s="78"/>
      <c r="G73" s="78"/>
      <c r="H73" s="78"/>
      <c r="I73" s="78"/>
      <c r="J73" s="78"/>
      <c r="K73" s="78"/>
    </row>
    <row r="74" customFormat="false" ht="30" hidden="false" customHeight="true" outlineLevel="0" collapsed="false">
      <c r="A74" s="79" t="s">
        <v>172</v>
      </c>
      <c r="B74" s="79"/>
      <c r="C74" s="79"/>
      <c r="D74" s="79"/>
      <c r="E74" s="79"/>
      <c r="F74" s="79"/>
      <c r="G74" s="79"/>
      <c r="H74" s="79"/>
      <c r="I74" s="79"/>
      <c r="J74" s="79"/>
      <c r="K74" s="79"/>
    </row>
    <row r="75" customFormat="false" ht="30" hidden="false" customHeight="true" outlineLevel="0" collapsed="false">
      <c r="A75" s="79" t="s">
        <v>173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</row>
    <row r="76" customFormat="false" ht="30" hidden="false" customHeight="true" outlineLevel="0" collapsed="false">
      <c r="A76" s="79" t="s">
        <v>174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</row>
    <row r="77" customFormat="false" ht="30" hidden="false" customHeight="true" outlineLevel="0" collapsed="false">
      <c r="A77" s="79" t="s">
        <v>175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</row>
  </sheetData>
  <mergeCells count="7">
    <mergeCell ref="A1:K1"/>
    <mergeCell ref="A3:K3"/>
    <mergeCell ref="A73:K73"/>
    <mergeCell ref="A74:K74"/>
    <mergeCell ref="A75:K75"/>
    <mergeCell ref="A76:K76"/>
    <mergeCell ref="A77:K77"/>
  </mergeCells>
  <conditionalFormatting sqref="J6:J69">
    <cfRule type="cellIs" priority="2" operator="lessThanOrEqual" aboveAverage="0" equalAverage="0" bottom="0" percent="0" rank="0" text="" dxfId="0">
      <formula>1</formula>
    </cfRule>
    <cfRule type="cellIs" priority="3" operator="greaterThanOrEqual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24.75" hidden="false" customHeight="true" outlineLevel="0" collapsed="false">
      <c r="A1" s="80" t="s">
        <v>176</v>
      </c>
      <c r="B1" s="80"/>
      <c r="C1" s="80"/>
      <c r="D1" s="80"/>
      <c r="E1" s="80"/>
      <c r="F1" s="80"/>
      <c r="G1" s="80"/>
      <c r="H1" s="80"/>
    </row>
    <row r="3" customFormat="false" ht="15" hidden="false" customHeight="false" outlineLevel="0" collapsed="false">
      <c r="A3" s="3" t="s">
        <v>177</v>
      </c>
    </row>
    <row r="5" customFormat="false" ht="15" hidden="false" customHeight="false" outlineLevel="0" collapsed="false">
      <c r="A5" s="81" t="s">
        <v>178</v>
      </c>
    </row>
    <row r="6" customFormat="false" ht="15" hidden="false" customHeight="false" outlineLevel="0" collapsed="false">
      <c r="A6" s="9" t="s">
        <v>179</v>
      </c>
      <c r="B6" s="9" t="s">
        <v>120</v>
      </c>
      <c r="C6" s="9" t="s">
        <v>180</v>
      </c>
      <c r="D6" s="9" t="s">
        <v>181</v>
      </c>
      <c r="E6" s="9" t="s">
        <v>182</v>
      </c>
      <c r="F6" s="9" t="s">
        <v>183</v>
      </c>
    </row>
    <row r="7" customFormat="false" ht="15" hidden="false" customHeight="false" outlineLevel="0" collapsed="false">
      <c r="A7" s="82" t="n">
        <v>46223</v>
      </c>
      <c r="B7" s="83" t="n">
        <f aca="false">SUMIFS('② 日次統合データ'!$C$4:$C$67,'② 日次統合データ'!$A$4:$A$67,"&gt;="&amp;A7,'② 日次統合データ'!$A$4:$A$67,"&lt;"&amp;A7+7)</f>
        <v>360</v>
      </c>
      <c r="C7" s="83" t="n">
        <f aca="false">COUNTIFS('② 日次統合データ'!$A$4:$A$67,"&gt;="&amp;A7,'② 日次統合データ'!$A$4:$A$67,"&lt;"&amp;A7+7,'② 日次統合データ'!$B$4:$B$67,"&lt;&gt;休養日")</f>
        <v>5</v>
      </c>
      <c r="D7" s="84" t="n">
        <f aca="false">IFERROR(AVERAGEIFS('② 日次統合データ'!$D$4:$D$67,'② 日次統合データ'!$A$4:$A$67,"&gt;="&amp;A7,'② 日次統合データ'!$A$4:$A$67,"&lt;"&amp;A7+7),"-")</f>
        <v>6.6</v>
      </c>
      <c r="E7" s="84" t="n">
        <f aca="false">IFERROR(AVERAGEIFS('② 日次統合データ'!$G$4:$G$67,'② 日次統合データ'!$A$4:$A$67,"&gt;="&amp;A7,'② 日次統合データ'!$A$4:$A$67,"&lt;"&amp;A7+7),"-")</f>
        <v>3.4</v>
      </c>
      <c r="F7" s="83" t="n">
        <f aca="false">COUNTIFS('② 日次統合データ'!$A$4:$A$67,"&gt;="&amp;A7,'② 日次統合データ'!$A$4:$A$67,"&lt;"&amp;A7+7,'② 日次統合データ'!$L$4:$L$67,"はい",'② 日次統合データ'!$B$4:$B$67,"&lt;&gt;休養日")</f>
        <v>3</v>
      </c>
    </row>
    <row r="8" customFormat="false" ht="15" hidden="false" customHeight="false" outlineLevel="0" collapsed="false">
      <c r="A8" s="82" t="n">
        <v>46230</v>
      </c>
      <c r="B8" s="83" t="n">
        <f aca="false">SUMIFS('② 日次統合データ'!$C$4:$C$67,'② 日次統合データ'!$A$4:$A$67,"&gt;="&amp;A8,'② 日次統合データ'!$A$4:$A$67,"&lt;"&amp;A8+7)</f>
        <v>600</v>
      </c>
      <c r="C8" s="83" t="n">
        <f aca="false">COUNTIFS('② 日次統合データ'!$A$4:$A$67,"&gt;="&amp;A8,'② 日次統合データ'!$A$4:$A$67,"&lt;"&amp;A8+7,'② 日次統合データ'!$B$4:$B$67,"&lt;&gt;休養日")</f>
        <v>7</v>
      </c>
      <c r="D8" s="84" t="n">
        <f aca="false">IFERROR(AVERAGEIFS('② 日次統合データ'!$D$4:$D$67,'② 日次統合データ'!$A$4:$A$67,"&gt;="&amp;A8,'② 日次統合データ'!$A$4:$A$67,"&lt;"&amp;A8+7),"-")</f>
        <v>6.57142857142857</v>
      </c>
      <c r="E8" s="84" t="n">
        <f aca="false">IFERROR(AVERAGEIFS('② 日次統合データ'!$G$4:$G$67,'② 日次統合データ'!$A$4:$A$67,"&gt;="&amp;A8,'② 日次統合データ'!$A$4:$A$67,"&lt;"&amp;A8+7),"-")</f>
        <v>3.28571428571429</v>
      </c>
      <c r="F8" s="83" t="n">
        <f aca="false">COUNTIFS('② 日次統合データ'!$A$4:$A$67,"&gt;="&amp;A8,'② 日次統合データ'!$A$4:$A$67,"&lt;"&amp;A8+7,'② 日次統合データ'!$L$4:$L$67,"はい",'② 日次統合データ'!$B$4:$B$67,"&lt;&gt;休養日")</f>
        <v>6</v>
      </c>
    </row>
    <row r="9" customFormat="false" ht="15" hidden="false" customHeight="false" outlineLevel="0" collapsed="false">
      <c r="A9" s="82" t="n">
        <v>46237</v>
      </c>
      <c r="B9" s="83" t="n">
        <f aca="false">SUMIFS('② 日次統合データ'!$C$4:$C$67,'② 日次統合データ'!$A$4:$A$67,"&gt;="&amp;A9,'② 日次統合データ'!$A$4:$A$67,"&lt;"&amp;A9+7)</f>
        <v>120</v>
      </c>
      <c r="C9" s="83" t="n">
        <f aca="false">COUNTIFS('② 日次統合データ'!$A$4:$A$67,"&gt;="&amp;A9,'② 日次統合データ'!$A$4:$A$67,"&lt;"&amp;A9+7,'② 日次統合データ'!$B$4:$B$67,"&lt;&gt;休養日")</f>
        <v>1</v>
      </c>
      <c r="D9" s="84" t="n">
        <f aca="false">IFERROR(AVERAGEIFS('② 日次統合データ'!$D$4:$D$67,'② 日次統合データ'!$A$4:$A$67,"&gt;="&amp;A9,'② 日次統合データ'!$A$4:$A$67,"&lt;"&amp;A9+7),"-")</f>
        <v>7</v>
      </c>
      <c r="E9" s="84" t="n">
        <f aca="false">IFERROR(AVERAGEIFS('② 日次統合データ'!$G$4:$G$67,'② 日次統合データ'!$A$4:$A$67,"&gt;="&amp;A9,'② 日次統合データ'!$A$4:$A$67,"&lt;"&amp;A9+7),"-")</f>
        <v>4</v>
      </c>
      <c r="F9" s="83" t="n">
        <f aca="false">COUNTIFS('② 日次統合データ'!$A$4:$A$67,"&gt;="&amp;A9,'② 日次統合データ'!$A$4:$A$67,"&lt;"&amp;A9+7,'② 日次統合データ'!$L$4:$L$67,"はい",'② 日次統合データ'!$B$4:$B$67,"&lt;&gt;休養日")</f>
        <v>1</v>
      </c>
    </row>
    <row r="10" customFormat="false" ht="15" hidden="false" customHeight="false" outlineLevel="0" collapsed="false">
      <c r="A10" s="82" t="n">
        <v>46244</v>
      </c>
      <c r="B10" s="83" t="n">
        <f aca="false">SUMIFS('② 日次統合データ'!$C$4:$C$67,'② 日次統合データ'!$A$4:$A$67,"&gt;="&amp;A10,'② 日次統合データ'!$A$4:$A$67,"&lt;"&amp;A10+7)</f>
        <v>480</v>
      </c>
      <c r="C10" s="83" t="n">
        <f aca="false">COUNTIFS('② 日次統合データ'!$A$4:$A$67,"&gt;="&amp;A10,'② 日次統合データ'!$A$4:$A$67,"&lt;"&amp;A10+7,'② 日次統合データ'!$B$4:$B$67,"&lt;&gt;休養日")</f>
        <v>4</v>
      </c>
      <c r="D10" s="84" t="n">
        <f aca="false">IFERROR(AVERAGEIFS('② 日次統合データ'!$D$4:$D$67,'② 日次統合データ'!$A$4:$A$67,"&gt;="&amp;A10,'② 日次統合データ'!$A$4:$A$67,"&lt;"&amp;A10+7),"-")</f>
        <v>5.25</v>
      </c>
      <c r="E10" s="84" t="n">
        <f aca="false">IFERROR(AVERAGEIFS('② 日次統合データ'!$G$4:$G$67,'② 日次統合データ'!$A$4:$A$67,"&gt;="&amp;A10,'② 日次統合データ'!$A$4:$A$67,"&lt;"&amp;A10+7),"-")</f>
        <v>2.75</v>
      </c>
      <c r="F10" s="83" t="n">
        <f aca="false">COUNTIFS('② 日次統合データ'!$A$4:$A$67,"&gt;="&amp;A10,'② 日次統合データ'!$A$4:$A$67,"&lt;"&amp;A10+7,'② 日次統合データ'!$L$4:$L$67,"はい",'② 日次統合データ'!$B$4:$B$67,"&lt;&gt;休養日")</f>
        <v>2</v>
      </c>
    </row>
    <row r="11" customFormat="false" ht="15" hidden="false" customHeight="false" outlineLevel="0" collapsed="false">
      <c r="A11" s="82" t="n">
        <v>46251</v>
      </c>
      <c r="B11" s="83" t="n">
        <f aca="false">SUMIFS('② 日次統合データ'!$C$4:$C$67,'② 日次統合データ'!$A$4:$A$67,"&gt;="&amp;A11,'② 日次統合データ'!$A$4:$A$67,"&lt;"&amp;A11+7)</f>
        <v>390</v>
      </c>
      <c r="C11" s="83" t="n">
        <f aca="false">COUNTIFS('② 日次統合データ'!$A$4:$A$67,"&gt;="&amp;A11,'② 日次統合データ'!$A$4:$A$67,"&lt;"&amp;A11+7,'② 日次統合データ'!$B$4:$B$67,"&lt;&gt;休養日")</f>
        <v>4</v>
      </c>
      <c r="D11" s="84" t="n">
        <f aca="false">IFERROR(AVERAGEIFS('② 日次統合データ'!$D$4:$D$67,'② 日次統合データ'!$A$4:$A$67,"&gt;="&amp;A11,'② 日次統合データ'!$A$4:$A$67,"&lt;"&amp;A11+7),"-")</f>
        <v>7.75</v>
      </c>
      <c r="E11" s="84" t="n">
        <f aca="false">IFERROR(AVERAGEIFS('② 日次統合データ'!$G$4:$G$67,'② 日次統合データ'!$A$4:$A$67,"&gt;="&amp;A11,'② 日次統合データ'!$A$4:$A$67,"&lt;"&amp;A11+7),"-")</f>
        <v>3.5</v>
      </c>
      <c r="F11" s="83" t="n">
        <f aca="false">COUNTIFS('② 日次統合データ'!$A$4:$A$67,"&gt;="&amp;A11,'② 日次統合データ'!$A$4:$A$67,"&lt;"&amp;A11+7,'② 日次統合データ'!$L$4:$L$67,"はい",'② 日次統合データ'!$B$4:$B$67,"&lt;&gt;休養日")</f>
        <v>3</v>
      </c>
    </row>
    <row r="12" customFormat="false" ht="15" hidden="false" customHeight="false" outlineLevel="0" collapsed="false">
      <c r="A12" s="82" t="n">
        <v>46258</v>
      </c>
      <c r="B12" s="83" t="n">
        <f aca="false">SUMIFS('② 日次統合データ'!$C$4:$C$67,'② 日次統合データ'!$A$4:$A$67,"&gt;="&amp;A12,'② 日次統合データ'!$A$4:$A$67,"&lt;"&amp;A12+7)</f>
        <v>600</v>
      </c>
      <c r="C12" s="83" t="n">
        <f aca="false">COUNTIFS('② 日次統合データ'!$A$4:$A$67,"&gt;="&amp;A12,'② 日次統合データ'!$A$4:$A$67,"&lt;"&amp;A12+7,'② 日次統合データ'!$B$4:$B$67,"&lt;&gt;休養日")</f>
        <v>6</v>
      </c>
      <c r="D12" s="84" t="n">
        <f aca="false">IFERROR(AVERAGEIFS('② 日次統合データ'!$D$4:$D$67,'② 日次統合データ'!$A$4:$A$67,"&gt;="&amp;A12,'② 日次統合データ'!$A$4:$A$67,"&lt;"&amp;A12+7),"-")</f>
        <v>6.16666666666667</v>
      </c>
      <c r="E12" s="84" t="n">
        <f aca="false">IFERROR(AVERAGEIFS('② 日次統合データ'!$G$4:$G$67,'② 日次統合データ'!$A$4:$A$67,"&gt;="&amp;A12,'② 日次統合データ'!$A$4:$A$67,"&lt;"&amp;A12+7),"-")</f>
        <v>3</v>
      </c>
      <c r="F12" s="83" t="n">
        <f aca="false">COUNTIFS('② 日次統合データ'!$A$4:$A$67,"&gt;="&amp;A12,'② 日次統合データ'!$A$4:$A$67,"&lt;"&amp;A12+7,'② 日次統合データ'!$L$4:$L$67,"はい",'② 日次統合データ'!$B$4:$B$67,"&lt;&gt;休養日")</f>
        <v>5</v>
      </c>
    </row>
    <row r="13" customFormat="false" ht="15" hidden="false" customHeight="false" outlineLevel="0" collapsed="false">
      <c r="A13" s="82" t="n">
        <v>46265</v>
      </c>
      <c r="B13" s="83" t="n">
        <f aca="false">SUMIFS('② 日次統合データ'!$C$4:$C$67,'② 日次統合データ'!$A$4:$A$67,"&gt;="&amp;A13,'② 日次統合データ'!$A$4:$A$67,"&lt;"&amp;A13+7)</f>
        <v>600</v>
      </c>
      <c r="C13" s="83" t="n">
        <f aca="false">COUNTIFS('② 日次統合データ'!$A$4:$A$67,"&gt;="&amp;A13,'② 日次統合データ'!$A$4:$A$67,"&lt;"&amp;A13+7,'② 日次統合データ'!$B$4:$B$67,"&lt;&gt;休養日")</f>
        <v>7</v>
      </c>
      <c r="D13" s="84" t="n">
        <f aca="false">IFERROR(AVERAGEIFS('② 日次統合データ'!$D$4:$D$67,'② 日次統合データ'!$A$4:$A$67,"&gt;="&amp;A13,'② 日次統合データ'!$A$4:$A$67,"&lt;"&amp;A13+7),"-")</f>
        <v>6.14285714285714</v>
      </c>
      <c r="E13" s="84" t="n">
        <f aca="false">IFERROR(AVERAGEIFS('② 日次統合データ'!$G$4:$G$67,'② 日次統合データ'!$A$4:$A$67,"&gt;="&amp;A13,'② 日次統合データ'!$A$4:$A$67,"&lt;"&amp;A13+7),"-")</f>
        <v>3.28571428571429</v>
      </c>
      <c r="F13" s="83" t="n">
        <f aca="false">COUNTIFS('② 日次統合データ'!$A$4:$A$67,"&gt;="&amp;A13,'② 日次統合データ'!$A$4:$A$67,"&lt;"&amp;A13+7,'② 日次統合データ'!$L$4:$L$67,"はい",'② 日次統合データ'!$B$4:$B$67,"&lt;&gt;休養日")</f>
        <v>7</v>
      </c>
    </row>
    <row r="14" customFormat="false" ht="15" hidden="false" customHeight="false" outlineLevel="0" collapsed="false">
      <c r="A14" s="82" t="n">
        <v>46272</v>
      </c>
      <c r="B14" s="83" t="n">
        <f aca="false">SUMIFS('② 日次統合データ'!$C$4:$C$67,'② 日次統合データ'!$A$4:$A$67,"&gt;="&amp;A14,'② 日次統合データ'!$A$4:$A$67,"&lt;"&amp;A14+7)</f>
        <v>700</v>
      </c>
      <c r="C14" s="83" t="n">
        <f aca="false">COUNTIFS('② 日次統合データ'!$A$4:$A$67,"&gt;="&amp;A14,'② 日次統合データ'!$A$4:$A$67,"&lt;"&amp;A14+7,'② 日次統合データ'!$B$4:$B$67,"&lt;&gt;休養日")</f>
        <v>5</v>
      </c>
      <c r="D14" s="84" t="n">
        <f aca="false">IFERROR(AVERAGEIFS('② 日次統合データ'!$D$4:$D$67,'② 日次統合データ'!$A$4:$A$67,"&gt;="&amp;A14,'② 日次統合データ'!$A$4:$A$67,"&lt;"&amp;A14+7),"-")</f>
        <v>7</v>
      </c>
      <c r="E14" s="84" t="n">
        <f aca="false">IFERROR(AVERAGEIFS('② 日次統合データ'!$G$4:$G$67,'② 日次統合データ'!$A$4:$A$67,"&gt;="&amp;A14,'② 日次統合データ'!$A$4:$A$67,"&lt;"&amp;A14+7),"-")</f>
        <v>4</v>
      </c>
      <c r="F14" s="83" t="n">
        <f aca="false">COUNTIFS('② 日次統合データ'!$A$4:$A$67,"&gt;="&amp;A14,'② 日次統合データ'!$A$4:$A$67,"&lt;"&amp;A14+7,'② 日次統合データ'!$L$4:$L$67,"はい",'② 日次統合データ'!$B$4:$B$67,"&lt;&gt;休養日")</f>
        <v>4</v>
      </c>
    </row>
    <row r="15" customFormat="false" ht="15" hidden="false" customHeight="false" outlineLevel="0" collapsed="false">
      <c r="A15" s="82" t="n">
        <v>46279</v>
      </c>
      <c r="B15" s="83" t="n">
        <f aca="false">SUMIFS('② 日次統合データ'!$C$4:$C$67,'② 日次統合データ'!$A$4:$A$67,"&gt;="&amp;A15,'② 日次統合データ'!$A$4:$A$67,"&lt;"&amp;A15+7)</f>
        <v>960</v>
      </c>
      <c r="C15" s="83" t="n">
        <f aca="false">COUNTIFS('② 日次統合データ'!$A$4:$A$67,"&gt;="&amp;A15,'② 日次統合データ'!$A$4:$A$67,"&lt;"&amp;A15+7,'② 日次統合データ'!$B$4:$B$67,"&lt;&gt;休養日")</f>
        <v>6</v>
      </c>
      <c r="D15" s="84" t="n">
        <f aca="false">IFERROR(AVERAGEIFS('② 日次統合データ'!$D$4:$D$67,'② 日次統合データ'!$A$4:$A$67,"&gt;="&amp;A15,'② 日次統合データ'!$A$4:$A$67,"&lt;"&amp;A15+7),"-")</f>
        <v>7.16666666666667</v>
      </c>
      <c r="E15" s="84" t="n">
        <f aca="false">IFERROR(AVERAGEIFS('② 日次統合データ'!$G$4:$G$67,'② 日次統合データ'!$A$4:$A$67,"&gt;="&amp;A15,'② 日次統合データ'!$A$4:$A$67,"&lt;"&amp;A15+7),"-")</f>
        <v>4</v>
      </c>
      <c r="F15" s="83" t="n">
        <f aca="false">COUNTIFS('② 日次統合データ'!$A$4:$A$67,"&gt;="&amp;A15,'② 日次統合データ'!$A$4:$A$67,"&lt;"&amp;A15+7,'② 日次統合データ'!$L$4:$L$67,"はい",'② 日次統合データ'!$B$4:$B$67,"&lt;&gt;休養日")</f>
        <v>1</v>
      </c>
    </row>
    <row r="16" customFormat="false" ht="15" hidden="false" customHeight="false" outlineLevel="0" collapsed="false">
      <c r="A16" s="82" t="n">
        <v>46286</v>
      </c>
      <c r="B16" s="83" t="n">
        <f aca="false">SUMIFS('② 日次統合データ'!$C$4:$C$67,'② 日次統合データ'!$A$4:$A$67,"&gt;="&amp;A16,'② 日次統合データ'!$A$4:$A$67,"&lt;"&amp;A16+7)</f>
        <v>420</v>
      </c>
      <c r="C16" s="83" t="n">
        <f aca="false">COUNTIFS('② 日次統合データ'!$A$4:$A$67,"&gt;="&amp;A16,'② 日次統合データ'!$A$4:$A$67,"&lt;"&amp;A16+7,'② 日次統合データ'!$B$4:$B$67,"&lt;&gt;休養日")</f>
        <v>5</v>
      </c>
      <c r="D16" s="84" t="n">
        <f aca="false">IFERROR(AVERAGEIFS('② 日次統合データ'!$D$4:$D$67,'② 日次統合データ'!$A$4:$A$67,"&gt;="&amp;A16,'② 日次統合データ'!$A$4:$A$67,"&lt;"&amp;A16+7),"-")</f>
        <v>6.4</v>
      </c>
      <c r="E16" s="84" t="n">
        <f aca="false">IFERROR(AVERAGEIFS('② 日次統合データ'!$G$4:$G$67,'② 日次統合データ'!$A$4:$A$67,"&gt;="&amp;A16,'② 日次統合データ'!$A$4:$A$67,"&lt;"&amp;A16+7),"-")</f>
        <v>3.2</v>
      </c>
      <c r="F16" s="83" t="n">
        <f aca="false">COUNTIFS('② 日次統合データ'!$A$4:$A$67,"&gt;="&amp;A16,'② 日次統合データ'!$A$4:$A$67,"&lt;"&amp;A16+7,'② 日次統合データ'!$L$4:$L$67,"はい",'② 日次統合データ'!$B$4:$B$67,"&lt;&gt;休養日")</f>
        <v>3</v>
      </c>
    </row>
    <row r="17" customFormat="false" ht="15" hidden="false" customHeight="false" outlineLevel="0" collapsed="false">
      <c r="A17" s="82" t="n">
        <v>46293</v>
      </c>
      <c r="B17" s="83" t="n">
        <f aca="false">SUMIFS('② 日次統合データ'!$C$4:$C$67,'② 日次統合データ'!$A$4:$A$67,"&gt;="&amp;A17,'② 日次統合データ'!$A$4:$A$67,"&lt;"&amp;A17+7)</f>
        <v>240</v>
      </c>
      <c r="C17" s="83" t="n">
        <f aca="false">COUNTIFS('② 日次統合データ'!$A$4:$A$67,"&gt;="&amp;A17,'② 日次統合データ'!$A$4:$A$67,"&lt;"&amp;A17+7,'② 日次統合データ'!$B$4:$B$67,"&lt;&gt;休養日")</f>
        <v>2</v>
      </c>
      <c r="D17" s="84" t="n">
        <f aca="false">IFERROR(AVERAGEIFS('② 日次統合データ'!$D$4:$D$67,'② 日次統合データ'!$A$4:$A$67,"&gt;="&amp;A17,'② 日次統合データ'!$A$4:$A$67,"&lt;"&amp;A17+7),"-")</f>
        <v>6</v>
      </c>
      <c r="E17" s="84" t="n">
        <f aca="false">IFERROR(AVERAGEIFS('② 日次統合データ'!$G$4:$G$67,'② 日次統合データ'!$A$4:$A$67,"&gt;="&amp;A17,'② 日次統合データ'!$A$4:$A$67,"&lt;"&amp;A17+7),"-")</f>
        <v>3</v>
      </c>
      <c r="F17" s="83" t="n">
        <f aca="false">COUNTIFS('② 日次統合データ'!$A$4:$A$67,"&gt;="&amp;A17,'② 日次統合データ'!$A$4:$A$67,"&lt;"&amp;A17+7,'② 日次統合データ'!$L$4:$L$67,"はい",'② 日次統合データ'!$B$4:$B$67,"&lt;&gt;休養日")</f>
        <v>1</v>
      </c>
    </row>
    <row r="18" customFormat="false" ht="15" hidden="false" customHeight="false" outlineLevel="0" collapsed="false">
      <c r="A18" s="85" t="s">
        <v>184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3" min="3" style="0" width="5"/>
    <col collapsed="false" customWidth="true" hidden="false" outlineLevel="0" max="4" min="4" style="0" width="17"/>
    <col collapsed="false" customWidth="true" hidden="false" outlineLevel="0" max="5" min="5" style="0" width="5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9.5" hidden="false" customHeight="true" outlineLevel="0" collapsed="false">
      <c r="A1" s="86" t="s">
        <v>185</v>
      </c>
      <c r="B1" s="86"/>
      <c r="C1" s="86"/>
      <c r="D1" s="86"/>
      <c r="E1" s="86"/>
      <c r="F1" s="86"/>
      <c r="G1" s="86"/>
      <c r="H1" s="86"/>
      <c r="I1" s="86"/>
    </row>
    <row r="2" customFormat="false" ht="30" hidden="false" customHeight="true" outlineLevel="0" collapsed="false">
      <c r="A2" s="87" t="s">
        <v>186</v>
      </c>
      <c r="B2" s="87" t="s">
        <v>187</v>
      </c>
      <c r="C2" s="88" t="s">
        <v>188</v>
      </c>
      <c r="D2" s="87" t="s">
        <v>189</v>
      </c>
      <c r="E2" s="88" t="s">
        <v>188</v>
      </c>
      <c r="F2" s="87" t="s">
        <v>190</v>
      </c>
      <c r="G2" s="87" t="s">
        <v>191</v>
      </c>
      <c r="H2" s="87" t="s">
        <v>192</v>
      </c>
      <c r="I2" s="87" t="s">
        <v>193</v>
      </c>
    </row>
    <row r="3" customFormat="false" ht="19.5" hidden="false" customHeight="true" outlineLevel="0" collapsed="false">
      <c r="A3" s="89" t="s">
        <v>194</v>
      </c>
      <c r="B3" s="90" t="s">
        <v>195</v>
      </c>
      <c r="C3" s="90" t="n">
        <v>30</v>
      </c>
      <c r="D3" s="90" t="s">
        <v>196</v>
      </c>
      <c r="E3" s="90" t="n">
        <v>20</v>
      </c>
      <c r="F3" s="91" t="n">
        <v>-0.03</v>
      </c>
      <c r="G3" s="92" t="s">
        <v>197</v>
      </c>
      <c r="H3" s="91" t="n">
        <v>-0.17</v>
      </c>
      <c r="I3" s="90" t="s">
        <v>198</v>
      </c>
    </row>
    <row r="4" customFormat="false" ht="19.5" hidden="false" customHeight="true" outlineLevel="0" collapsed="false">
      <c r="A4" s="89" t="s">
        <v>199</v>
      </c>
      <c r="B4" s="92" t="s">
        <v>200</v>
      </c>
      <c r="C4" s="90" t="n">
        <v>41</v>
      </c>
      <c r="D4" s="92" t="s">
        <v>201</v>
      </c>
      <c r="E4" s="90" t="n">
        <v>11</v>
      </c>
      <c r="F4" s="91" t="n">
        <v>-0.11</v>
      </c>
      <c r="G4" s="92" t="s">
        <v>197</v>
      </c>
      <c r="H4" s="91" t="n">
        <v>1.03</v>
      </c>
      <c r="I4" s="90" t="s">
        <v>202</v>
      </c>
    </row>
    <row r="5" customFormat="false" ht="19.5" hidden="false" customHeight="true" outlineLevel="0" collapsed="false">
      <c r="A5" s="89" t="s">
        <v>203</v>
      </c>
      <c r="B5" s="92" t="s">
        <v>204</v>
      </c>
      <c r="C5" s="90" t="n">
        <v>32</v>
      </c>
      <c r="D5" s="92" t="s">
        <v>205</v>
      </c>
      <c r="E5" s="90" t="n">
        <v>20</v>
      </c>
      <c r="F5" s="91" t="n">
        <v>0.19</v>
      </c>
      <c r="G5" s="92" t="s">
        <v>197</v>
      </c>
      <c r="H5" s="91" t="n">
        <v>-0.06</v>
      </c>
      <c r="I5" s="90" t="s">
        <v>198</v>
      </c>
    </row>
    <row r="6" customFormat="false" ht="30" hidden="false" customHeight="true" outlineLevel="0" collapsed="false">
      <c r="A6" s="93" t="s">
        <v>206</v>
      </c>
      <c r="B6" s="94" t="s">
        <v>207</v>
      </c>
      <c r="C6" s="94" t="n">
        <v>48</v>
      </c>
      <c r="D6" s="94" t="s">
        <v>208</v>
      </c>
      <c r="E6" s="94" t="n">
        <v>4</v>
      </c>
      <c r="F6" s="95" t="n">
        <v>-0.69</v>
      </c>
      <c r="G6" s="96" t="s">
        <v>209</v>
      </c>
      <c r="H6" s="95" t="n">
        <v>-0.52</v>
      </c>
      <c r="I6" s="96" t="s">
        <v>210</v>
      </c>
    </row>
    <row r="7" customFormat="false" ht="30" hidden="false" customHeight="true" outlineLevel="0" collapsed="false">
      <c r="A7" s="93" t="s">
        <v>211</v>
      </c>
      <c r="B7" s="94" t="s">
        <v>212</v>
      </c>
      <c r="C7" s="96" t="n">
        <v>9</v>
      </c>
      <c r="D7" s="94" t="s">
        <v>213</v>
      </c>
      <c r="E7" s="96" t="n">
        <v>41</v>
      </c>
      <c r="F7" s="95" t="n">
        <v>0.33</v>
      </c>
      <c r="G7" s="96" t="s">
        <v>214</v>
      </c>
      <c r="H7" s="95" t="n">
        <v>-0.46</v>
      </c>
      <c r="I7" s="96" t="s">
        <v>215</v>
      </c>
    </row>
    <row r="9" customFormat="false" ht="19.5" hidden="false" customHeight="true" outlineLevel="0" collapsed="false">
      <c r="A9" s="86" t="s">
        <v>216</v>
      </c>
      <c r="B9" s="86"/>
      <c r="C9" s="86"/>
      <c r="D9" s="86"/>
      <c r="E9" s="86"/>
      <c r="F9" s="86"/>
      <c r="G9" s="86"/>
      <c r="H9" s="86"/>
      <c r="I9" s="86"/>
    </row>
    <row r="10" customFormat="false" ht="30" hidden="false" customHeight="true" outlineLevel="0" collapsed="false">
      <c r="A10" s="87" t="s">
        <v>186</v>
      </c>
      <c r="B10" s="87" t="s">
        <v>187</v>
      </c>
      <c r="C10" s="88" t="s">
        <v>188</v>
      </c>
      <c r="D10" s="87" t="s">
        <v>189</v>
      </c>
      <c r="E10" s="88" t="s">
        <v>188</v>
      </c>
      <c r="F10" s="87" t="s">
        <v>190</v>
      </c>
      <c r="G10" s="87" t="s">
        <v>191</v>
      </c>
      <c r="H10" s="87" t="s">
        <v>192</v>
      </c>
      <c r="I10" s="87" t="s">
        <v>193</v>
      </c>
    </row>
    <row r="11" customFormat="false" ht="19.5" hidden="false" customHeight="true" outlineLevel="0" collapsed="false">
      <c r="A11" s="93" t="s">
        <v>217</v>
      </c>
      <c r="B11" s="96" t="s">
        <v>218</v>
      </c>
      <c r="C11" s="96" t="n">
        <v>32</v>
      </c>
      <c r="D11" s="96" t="s">
        <v>219</v>
      </c>
      <c r="E11" s="96" t="n">
        <v>18</v>
      </c>
      <c r="F11" s="95" t="n">
        <v>-0.42</v>
      </c>
      <c r="G11" s="96" t="s">
        <v>214</v>
      </c>
      <c r="H11" s="95" t="n">
        <v>-0.75</v>
      </c>
      <c r="I11" s="96" t="s">
        <v>210</v>
      </c>
    </row>
    <row r="12" customFormat="false" ht="19.5" hidden="false" customHeight="true" outlineLevel="0" collapsed="false">
      <c r="A12" s="89" t="s">
        <v>220</v>
      </c>
      <c r="B12" s="90" t="s">
        <v>221</v>
      </c>
      <c r="C12" s="90" t="n">
        <v>15</v>
      </c>
      <c r="D12" s="90" t="s">
        <v>222</v>
      </c>
      <c r="E12" s="90" t="n">
        <v>35</v>
      </c>
      <c r="F12" s="91" t="n">
        <v>-0.1</v>
      </c>
      <c r="G12" s="92" t="s">
        <v>197</v>
      </c>
      <c r="H12" s="91" t="n">
        <v>0.71</v>
      </c>
      <c r="I12" s="90" t="s">
        <v>202</v>
      </c>
    </row>
    <row r="13" customFormat="false" ht="30" hidden="false" customHeight="true" outlineLevel="0" collapsed="false">
      <c r="A13" s="93" t="s">
        <v>223</v>
      </c>
      <c r="B13" s="96" t="s">
        <v>224</v>
      </c>
      <c r="C13" s="96" t="n">
        <v>36</v>
      </c>
      <c r="D13" s="96" t="s">
        <v>225</v>
      </c>
      <c r="E13" s="96" t="n">
        <v>2</v>
      </c>
      <c r="F13" s="95" t="n">
        <v>-0.44</v>
      </c>
      <c r="G13" s="96" t="s">
        <v>226</v>
      </c>
      <c r="H13" s="95" t="n">
        <v>0.78</v>
      </c>
      <c r="I13" s="96" t="s">
        <v>215</v>
      </c>
    </row>
    <row r="14" customFormat="false" ht="30" hidden="false" customHeight="true" outlineLevel="0" collapsed="false">
      <c r="A14" s="93" t="s">
        <v>227</v>
      </c>
      <c r="B14" s="96" t="s">
        <v>228</v>
      </c>
      <c r="C14" s="96" t="n">
        <v>36</v>
      </c>
      <c r="D14" s="96" t="s">
        <v>229</v>
      </c>
      <c r="E14" s="96" t="n">
        <v>2</v>
      </c>
      <c r="F14" s="95" t="n">
        <v>-1.64</v>
      </c>
      <c r="G14" s="96" t="s">
        <v>209</v>
      </c>
      <c r="H14" s="95" t="n">
        <v>-1.33</v>
      </c>
      <c r="I14" s="96" t="s">
        <v>210</v>
      </c>
    </row>
    <row r="16" customFormat="false" ht="19.5" hidden="false" customHeight="true" outlineLevel="0" collapsed="false">
      <c r="A16" s="86" t="s">
        <v>230</v>
      </c>
      <c r="B16" s="86"/>
      <c r="C16" s="86"/>
      <c r="D16" s="86"/>
      <c r="E16" s="86"/>
      <c r="F16" s="86"/>
      <c r="G16" s="86"/>
      <c r="H16" s="86"/>
      <c r="I16" s="86"/>
    </row>
    <row r="17" customFormat="false" ht="19.5" hidden="false" customHeight="true" outlineLevel="0" collapsed="false">
      <c r="A17" s="97" t="s">
        <v>231</v>
      </c>
      <c r="B17" s="97"/>
      <c r="C17" s="97"/>
      <c r="D17" s="97"/>
      <c r="E17" s="97"/>
      <c r="F17" s="97"/>
      <c r="G17" s="97"/>
      <c r="H17" s="97"/>
      <c r="I17" s="97"/>
    </row>
    <row r="18" customFormat="false" ht="19.5" hidden="false" customHeight="true" outlineLevel="0" collapsed="false">
      <c r="A18" s="98" t="s">
        <v>232</v>
      </c>
      <c r="B18" s="98"/>
      <c r="C18" s="98"/>
      <c r="D18" s="98"/>
      <c r="E18" s="98"/>
      <c r="F18" s="98"/>
      <c r="G18" s="98"/>
      <c r="H18" s="98"/>
      <c r="I18" s="98"/>
    </row>
    <row r="19" customFormat="false" ht="30" hidden="false" customHeight="true" outlineLevel="0" collapsed="false">
      <c r="A19" s="87" t="s">
        <v>186</v>
      </c>
      <c r="B19" s="87" t="s">
        <v>187</v>
      </c>
      <c r="C19" s="88" t="s">
        <v>188</v>
      </c>
      <c r="D19" s="87" t="s">
        <v>189</v>
      </c>
      <c r="E19" s="88" t="s">
        <v>188</v>
      </c>
      <c r="F19" s="87" t="s">
        <v>190</v>
      </c>
      <c r="G19" s="87" t="s">
        <v>191</v>
      </c>
      <c r="H19" s="87" t="s">
        <v>192</v>
      </c>
      <c r="I19" s="87" t="s">
        <v>193</v>
      </c>
    </row>
    <row r="20" customFormat="false" ht="19.5" hidden="false" customHeight="true" outlineLevel="0" collapsed="false">
      <c r="A20" s="89" t="s">
        <v>233</v>
      </c>
      <c r="B20" s="92" t="s">
        <v>234</v>
      </c>
      <c r="C20" s="90" t="n">
        <v>13</v>
      </c>
      <c r="D20" s="92" t="s">
        <v>235</v>
      </c>
      <c r="E20" s="90" t="n">
        <v>37</v>
      </c>
      <c r="F20" s="91" t="n">
        <v>-0.12</v>
      </c>
      <c r="G20" s="92" t="s">
        <v>197</v>
      </c>
      <c r="H20" s="91" t="n">
        <v>-0.89</v>
      </c>
      <c r="I20" s="90" t="s">
        <v>202</v>
      </c>
    </row>
    <row r="21" customFormat="false" ht="30" hidden="false" customHeight="true" outlineLevel="0" collapsed="false">
      <c r="A21" s="89" t="s">
        <v>236</v>
      </c>
      <c r="B21" s="92" t="s">
        <v>237</v>
      </c>
      <c r="C21" s="90" t="n">
        <v>13</v>
      </c>
      <c r="D21" s="92" t="s">
        <v>238</v>
      </c>
      <c r="E21" s="90" t="n">
        <v>37</v>
      </c>
      <c r="F21" s="91" t="n">
        <v>0.15</v>
      </c>
      <c r="G21" s="92" t="s">
        <v>197</v>
      </c>
      <c r="H21" s="91" t="n">
        <v>-0.24</v>
      </c>
      <c r="I21" s="90" t="s">
        <v>198</v>
      </c>
    </row>
    <row r="23" customFormat="false" ht="19.5" hidden="false" customHeight="true" outlineLevel="0" collapsed="false">
      <c r="A23" s="98" t="s">
        <v>239</v>
      </c>
      <c r="B23" s="98"/>
      <c r="C23" s="98"/>
      <c r="D23" s="98"/>
      <c r="E23" s="98"/>
      <c r="F23" s="98"/>
      <c r="G23" s="98"/>
      <c r="H23" s="98"/>
      <c r="I23" s="98"/>
    </row>
    <row r="24" customFormat="false" ht="30" hidden="false" customHeight="true" outlineLevel="0" collapsed="false">
      <c r="A24" s="87" t="s">
        <v>186</v>
      </c>
      <c r="B24" s="87" t="s">
        <v>187</v>
      </c>
      <c r="C24" s="88" t="s">
        <v>188</v>
      </c>
      <c r="D24" s="87" t="s">
        <v>189</v>
      </c>
      <c r="E24" s="88" t="s">
        <v>188</v>
      </c>
      <c r="F24" s="87" t="s">
        <v>190</v>
      </c>
      <c r="G24" s="87" t="s">
        <v>191</v>
      </c>
      <c r="H24" s="87" t="s">
        <v>192</v>
      </c>
      <c r="I24" s="87" t="s">
        <v>193</v>
      </c>
    </row>
    <row r="25" customFormat="false" ht="30" hidden="false" customHeight="true" outlineLevel="0" collapsed="false">
      <c r="A25" s="93" t="s">
        <v>240</v>
      </c>
      <c r="B25" s="94" t="s">
        <v>241</v>
      </c>
      <c r="C25" s="96" t="n">
        <v>28</v>
      </c>
      <c r="D25" s="94" t="s">
        <v>242</v>
      </c>
      <c r="E25" s="96" t="n">
        <v>22</v>
      </c>
      <c r="F25" s="95" t="n">
        <v>0.47</v>
      </c>
      <c r="G25" s="96" t="s">
        <v>214</v>
      </c>
      <c r="H25" s="95" t="n">
        <v>-0.52</v>
      </c>
      <c r="I25" s="96" t="s">
        <v>215</v>
      </c>
    </row>
    <row r="26" customFormat="false" ht="30" hidden="false" customHeight="true" outlineLevel="0" collapsed="false">
      <c r="A26" s="89" t="s">
        <v>243</v>
      </c>
      <c r="B26" s="92" t="s">
        <v>244</v>
      </c>
      <c r="C26" s="90" t="n">
        <v>28</v>
      </c>
      <c r="D26" s="92" t="s">
        <v>245</v>
      </c>
      <c r="E26" s="90" t="n">
        <v>22</v>
      </c>
      <c r="F26" s="91" t="n">
        <v>-0.18</v>
      </c>
      <c r="G26" s="92" t="s">
        <v>197</v>
      </c>
      <c r="H26" s="91" t="n">
        <v>0</v>
      </c>
      <c r="I26" s="90" t="s">
        <v>198</v>
      </c>
    </row>
    <row r="27" customFormat="false" ht="30" hidden="false" customHeight="true" outlineLevel="0" collapsed="false">
      <c r="A27" s="89" t="s">
        <v>246</v>
      </c>
      <c r="B27" s="92" t="s">
        <v>247</v>
      </c>
      <c r="C27" s="90" t="n">
        <v>35</v>
      </c>
      <c r="D27" s="92" t="s">
        <v>248</v>
      </c>
      <c r="E27" s="90" t="n">
        <v>27</v>
      </c>
      <c r="F27" s="91" t="n">
        <v>-0.1</v>
      </c>
      <c r="G27" s="92" t="s">
        <v>197</v>
      </c>
      <c r="H27" s="91" t="n">
        <v>0.08</v>
      </c>
      <c r="I27" s="90" t="s">
        <v>198</v>
      </c>
    </row>
    <row r="29" customFormat="false" ht="19.5" hidden="false" customHeight="true" outlineLevel="0" collapsed="false">
      <c r="A29" s="98" t="s">
        <v>249</v>
      </c>
      <c r="B29" s="98"/>
      <c r="C29" s="98"/>
      <c r="D29" s="98"/>
      <c r="E29" s="98"/>
      <c r="F29" s="98"/>
      <c r="G29" s="98"/>
      <c r="H29" s="98"/>
      <c r="I29" s="98"/>
    </row>
    <row r="30" customFormat="false" ht="30" hidden="false" customHeight="true" outlineLevel="0" collapsed="false">
      <c r="A30" s="87" t="s">
        <v>186</v>
      </c>
      <c r="B30" s="87" t="s">
        <v>187</v>
      </c>
      <c r="C30" s="88" t="s">
        <v>188</v>
      </c>
      <c r="D30" s="87" t="s">
        <v>189</v>
      </c>
      <c r="E30" s="88" t="s">
        <v>188</v>
      </c>
      <c r="F30" s="87" t="s">
        <v>190</v>
      </c>
      <c r="G30" s="87" t="s">
        <v>191</v>
      </c>
      <c r="H30" s="87" t="s">
        <v>192</v>
      </c>
      <c r="I30" s="87" t="s">
        <v>193</v>
      </c>
    </row>
    <row r="31" customFormat="false" ht="19.5" hidden="false" customHeight="true" outlineLevel="0" collapsed="false">
      <c r="A31" s="89" t="s">
        <v>250</v>
      </c>
      <c r="B31" s="90" t="s">
        <v>251</v>
      </c>
      <c r="C31" s="90" t="n">
        <v>28</v>
      </c>
      <c r="D31" s="90" t="s">
        <v>252</v>
      </c>
      <c r="E31" s="90" t="n">
        <v>22</v>
      </c>
      <c r="F31" s="91" t="n">
        <v>0.06</v>
      </c>
      <c r="G31" s="92" t="s">
        <v>197</v>
      </c>
      <c r="H31" s="91" t="n">
        <v>-0.53</v>
      </c>
      <c r="I31" s="90" t="s">
        <v>202</v>
      </c>
    </row>
    <row r="32" customFormat="false" ht="19.5" hidden="false" customHeight="true" outlineLevel="0" collapsed="false">
      <c r="A32" s="89" t="s">
        <v>253</v>
      </c>
      <c r="B32" s="90" t="s">
        <v>254</v>
      </c>
      <c r="C32" s="90" t="n">
        <v>4</v>
      </c>
      <c r="D32" s="90" t="s">
        <v>255</v>
      </c>
      <c r="E32" s="90" t="n">
        <v>46</v>
      </c>
      <c r="F32" s="91" t="n">
        <v>-0.16</v>
      </c>
      <c r="G32" s="92" t="s">
        <v>197</v>
      </c>
      <c r="H32" s="91" t="n">
        <v>-0.12</v>
      </c>
      <c r="I32" s="90" t="s">
        <v>198</v>
      </c>
    </row>
    <row r="33" customFormat="false" ht="19.5" hidden="false" customHeight="true" outlineLevel="0" collapsed="false">
      <c r="A33" s="93" t="s">
        <v>256</v>
      </c>
      <c r="B33" s="96" t="s">
        <v>257</v>
      </c>
      <c r="C33" s="96" t="n">
        <v>30</v>
      </c>
      <c r="D33" s="96" t="s">
        <v>258</v>
      </c>
      <c r="E33" s="96" t="n">
        <v>20</v>
      </c>
      <c r="F33" s="95" t="n">
        <v>0.33</v>
      </c>
      <c r="G33" s="96" t="s">
        <v>214</v>
      </c>
      <c r="H33" s="95" t="n">
        <v>0</v>
      </c>
      <c r="I33" s="96" t="s">
        <v>259</v>
      </c>
    </row>
    <row r="34" customFormat="false" ht="19.5" hidden="false" customHeight="true" outlineLevel="0" collapsed="false">
      <c r="A34" s="89" t="s">
        <v>260</v>
      </c>
      <c r="B34" s="90" t="s">
        <v>261</v>
      </c>
      <c r="C34" s="90" t="n">
        <v>21</v>
      </c>
      <c r="D34" s="90" t="s">
        <v>262</v>
      </c>
      <c r="E34" s="90" t="n">
        <v>29</v>
      </c>
      <c r="F34" s="91" t="n">
        <v>0.21</v>
      </c>
      <c r="G34" s="92" t="s">
        <v>197</v>
      </c>
      <c r="H34" s="91" t="n">
        <v>-0.19</v>
      </c>
      <c r="I34" s="90" t="s">
        <v>198</v>
      </c>
    </row>
    <row r="36" customFormat="false" ht="19.5" hidden="false" customHeight="true" outlineLevel="0" collapsed="false">
      <c r="A36" s="86" t="s">
        <v>263</v>
      </c>
      <c r="B36" s="86"/>
      <c r="C36" s="86"/>
      <c r="D36" s="86"/>
      <c r="E36" s="86"/>
      <c r="F36" s="86"/>
      <c r="G36" s="86"/>
      <c r="H36" s="86"/>
      <c r="I36" s="86"/>
    </row>
    <row r="37" customFormat="false" ht="30" hidden="false" customHeight="true" outlineLevel="0" collapsed="false">
      <c r="A37" s="87" t="s">
        <v>186</v>
      </c>
      <c r="B37" s="87" t="s">
        <v>187</v>
      </c>
      <c r="C37" s="88" t="s">
        <v>188</v>
      </c>
      <c r="D37" s="87" t="s">
        <v>189</v>
      </c>
      <c r="E37" s="88" t="s">
        <v>188</v>
      </c>
      <c r="F37" s="87" t="s">
        <v>190</v>
      </c>
      <c r="G37" s="87" t="s">
        <v>191</v>
      </c>
      <c r="H37" s="87" t="s">
        <v>192</v>
      </c>
      <c r="I37" s="87" t="s">
        <v>193</v>
      </c>
    </row>
    <row r="38" customFormat="false" ht="19.5" hidden="false" customHeight="true" outlineLevel="0" collapsed="false">
      <c r="A38" s="99" t="s">
        <v>264</v>
      </c>
      <c r="B38" s="100" t="s">
        <v>265</v>
      </c>
      <c r="C38" s="100" t="n">
        <v>45</v>
      </c>
      <c r="D38" s="100" t="s">
        <v>266</v>
      </c>
      <c r="E38" s="100" t="n">
        <v>7</v>
      </c>
      <c r="F38" s="101" t="n">
        <v>1.21</v>
      </c>
      <c r="G38" s="100" t="s">
        <v>267</v>
      </c>
      <c r="H38" s="102" t="s">
        <v>197</v>
      </c>
      <c r="I38" s="100" t="s">
        <v>268</v>
      </c>
    </row>
    <row r="39" customFormat="false" ht="19.5" hidden="false" customHeight="true" outlineLevel="0" collapsed="false">
      <c r="A39" s="99" t="s">
        <v>269</v>
      </c>
      <c r="B39" s="100" t="s">
        <v>270</v>
      </c>
      <c r="C39" s="100" t="n">
        <v>45</v>
      </c>
      <c r="D39" s="100" t="s">
        <v>271</v>
      </c>
      <c r="E39" s="100" t="n">
        <v>7</v>
      </c>
      <c r="F39" s="101" t="n">
        <v>-0.94</v>
      </c>
      <c r="G39" s="100" t="s">
        <v>272</v>
      </c>
      <c r="H39" s="102" t="s">
        <v>197</v>
      </c>
      <c r="I39" s="100" t="s">
        <v>268</v>
      </c>
    </row>
    <row r="40" customFormat="false" ht="19.5" hidden="false" customHeight="true" outlineLevel="0" collapsed="false">
      <c r="A40" s="99" t="s">
        <v>273</v>
      </c>
      <c r="B40" s="100" t="s">
        <v>274</v>
      </c>
      <c r="C40" s="100" t="n">
        <v>45</v>
      </c>
      <c r="D40" s="100" t="s">
        <v>275</v>
      </c>
      <c r="E40" s="100" t="n">
        <v>7</v>
      </c>
      <c r="F40" s="101" t="n">
        <v>-1.09</v>
      </c>
      <c r="G40" s="100" t="s">
        <v>276</v>
      </c>
      <c r="H40" s="102" t="s">
        <v>197</v>
      </c>
      <c r="I40" s="100" t="s">
        <v>268</v>
      </c>
    </row>
    <row r="41" customFormat="false" ht="30" hidden="false" customHeight="true" outlineLevel="0" collapsed="false">
      <c r="A41" s="99" t="s">
        <v>277</v>
      </c>
      <c r="B41" s="102" t="s">
        <v>278</v>
      </c>
      <c r="C41" s="100" t="n">
        <v>58</v>
      </c>
      <c r="D41" s="102" t="s">
        <v>279</v>
      </c>
      <c r="E41" s="100" t="n">
        <v>6</v>
      </c>
      <c r="F41" s="101" t="n">
        <v>0.89</v>
      </c>
      <c r="G41" s="100" t="s">
        <v>280</v>
      </c>
      <c r="H41" s="102" t="s">
        <v>197</v>
      </c>
      <c r="I41" s="100" t="s">
        <v>268</v>
      </c>
    </row>
    <row r="42" customFormat="false" ht="30" hidden="false" customHeight="true" outlineLevel="0" collapsed="false">
      <c r="A42" s="93" t="s">
        <v>281</v>
      </c>
      <c r="B42" s="96" t="s">
        <v>282</v>
      </c>
      <c r="C42" s="96" t="n">
        <v>17</v>
      </c>
      <c r="D42" s="96" t="s">
        <v>283</v>
      </c>
      <c r="E42" s="96" t="n">
        <v>9</v>
      </c>
      <c r="F42" s="95" t="n">
        <v>0.32</v>
      </c>
      <c r="G42" s="96" t="s">
        <v>214</v>
      </c>
      <c r="H42" s="94" t="s">
        <v>197</v>
      </c>
      <c r="I42" s="96" t="s">
        <v>268</v>
      </c>
    </row>
    <row r="43" customFormat="false" ht="19.5" hidden="false" customHeight="true" outlineLevel="0" collapsed="false">
      <c r="A43" s="89" t="s">
        <v>284</v>
      </c>
      <c r="B43" s="92" t="s">
        <v>285</v>
      </c>
      <c r="C43" s="90" t="n">
        <v>35</v>
      </c>
      <c r="D43" s="92" t="s">
        <v>286</v>
      </c>
      <c r="E43" s="90" t="n">
        <v>8</v>
      </c>
      <c r="F43" s="91" t="n">
        <v>-0.05</v>
      </c>
      <c r="G43" s="92" t="s">
        <v>197</v>
      </c>
      <c r="H43" s="92" t="s">
        <v>197</v>
      </c>
      <c r="I43" s="90" t="s">
        <v>268</v>
      </c>
    </row>
    <row r="44" customFormat="false" ht="30" hidden="false" customHeight="true" outlineLevel="0" collapsed="false">
      <c r="A44" s="99" t="s">
        <v>287</v>
      </c>
      <c r="B44" s="102" t="s">
        <v>288</v>
      </c>
      <c r="C44" s="100" t="n">
        <v>41</v>
      </c>
      <c r="D44" s="102" t="s">
        <v>289</v>
      </c>
      <c r="E44" s="100" t="n">
        <v>11</v>
      </c>
      <c r="F44" s="102" t="s">
        <v>290</v>
      </c>
      <c r="G44" s="100" t="s">
        <v>272</v>
      </c>
      <c r="H44" s="102" t="s">
        <v>197</v>
      </c>
      <c r="I44" s="100" t="s">
        <v>268</v>
      </c>
    </row>
    <row r="46" customFormat="false" ht="27.75" hidden="false" customHeight="true" outlineLevel="0" collapsed="false">
      <c r="A46" s="103" t="s">
        <v>291</v>
      </c>
      <c r="B46" s="103"/>
      <c r="C46" s="103"/>
      <c r="D46" s="103"/>
      <c r="E46" s="103"/>
      <c r="F46" s="103"/>
      <c r="G46" s="103"/>
      <c r="H46" s="103"/>
      <c r="I46" s="103"/>
    </row>
    <row r="47" customFormat="false" ht="27.75" hidden="false" customHeight="true" outlineLevel="0" collapsed="false">
      <c r="A47" s="104" t="s">
        <v>292</v>
      </c>
      <c r="B47" s="104"/>
      <c r="C47" s="104"/>
      <c r="D47" s="104"/>
      <c r="E47" s="104"/>
      <c r="F47" s="104"/>
      <c r="G47" s="104"/>
      <c r="H47" s="104"/>
      <c r="I47" s="104"/>
    </row>
    <row r="48" customFormat="false" ht="27.75" hidden="false" customHeight="true" outlineLevel="0" collapsed="false">
      <c r="A48" s="103" t="s">
        <v>293</v>
      </c>
      <c r="B48" s="103"/>
      <c r="C48" s="103"/>
      <c r="D48" s="103"/>
      <c r="E48" s="103"/>
      <c r="F48" s="103"/>
      <c r="G48" s="103"/>
      <c r="H48" s="103"/>
      <c r="I48" s="103"/>
    </row>
    <row r="49" customFormat="false" ht="27.75" hidden="false" customHeight="true" outlineLevel="0" collapsed="false">
      <c r="A49" s="105" t="s">
        <v>294</v>
      </c>
      <c r="B49" s="105"/>
      <c r="C49" s="105"/>
      <c r="D49" s="105"/>
      <c r="E49" s="105"/>
      <c r="F49" s="105"/>
      <c r="G49" s="105"/>
      <c r="H49" s="105"/>
      <c r="I49" s="105"/>
    </row>
    <row r="50" customFormat="false" ht="27.75" hidden="false" customHeight="true" outlineLevel="0" collapsed="false">
      <c r="A50" s="105" t="s">
        <v>295</v>
      </c>
      <c r="B50" s="105"/>
      <c r="C50" s="105"/>
      <c r="D50" s="105"/>
      <c r="E50" s="105"/>
      <c r="F50" s="105"/>
      <c r="G50" s="105"/>
      <c r="H50" s="105"/>
      <c r="I50" s="105"/>
    </row>
  </sheetData>
  <mergeCells count="13">
    <mergeCell ref="A1:I1"/>
    <mergeCell ref="A9:I9"/>
    <mergeCell ref="A16:I16"/>
    <mergeCell ref="A17:I17"/>
    <mergeCell ref="A18:I18"/>
    <mergeCell ref="A23:I23"/>
    <mergeCell ref="A29:I29"/>
    <mergeCell ref="A36:I36"/>
    <mergeCell ref="A46:I46"/>
    <mergeCell ref="A47:I47"/>
    <mergeCell ref="A48:I48"/>
    <mergeCell ref="A49:I49"/>
    <mergeCell ref="A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21.75" hidden="false" customHeight="true" outlineLevel="0" collapsed="false">
      <c r="A1" s="46" t="s">
        <v>296</v>
      </c>
      <c r="B1" s="46"/>
      <c r="C1" s="46"/>
      <c r="D1" s="46"/>
    </row>
    <row r="2" customFormat="false" ht="7.5" hidden="false" customHeight="true" outlineLevel="0" collapsed="false"/>
    <row r="3" customFormat="false" ht="15" hidden="false" customHeight="false" outlineLevel="0" collapsed="false">
      <c r="A3" s="9" t="s">
        <v>118</v>
      </c>
      <c r="B3" s="9" t="s">
        <v>297</v>
      </c>
      <c r="C3" s="9" t="s">
        <v>127</v>
      </c>
      <c r="D3" s="9" t="s">
        <v>298</v>
      </c>
    </row>
    <row r="4" customFormat="false" ht="15.75" hidden="false" customHeight="true" outlineLevel="0" collapsed="false">
      <c r="A4" s="106" t="n">
        <v>46225</v>
      </c>
      <c r="B4" s="107" t="n">
        <v>1</v>
      </c>
      <c r="C4" s="107" t="n">
        <v>1</v>
      </c>
      <c r="D4" s="107" t="n">
        <v>8</v>
      </c>
    </row>
    <row r="5" customFormat="false" ht="15.75" hidden="false" customHeight="true" outlineLevel="0" collapsed="false">
      <c r="A5" s="106" t="n">
        <v>46226</v>
      </c>
      <c r="B5" s="107" t="n">
        <v>1</v>
      </c>
      <c r="C5" s="107" t="n">
        <v>1</v>
      </c>
      <c r="D5" s="107" t="n">
        <v>7</v>
      </c>
    </row>
    <row r="6" customFormat="false" ht="15.75" hidden="false" customHeight="true" outlineLevel="0" collapsed="false">
      <c r="A6" s="106" t="n">
        <v>46227</v>
      </c>
      <c r="B6" s="107" t="n">
        <v>2</v>
      </c>
      <c r="C6" s="107" t="n">
        <v>3</v>
      </c>
      <c r="D6" s="107" t="n">
        <v>7</v>
      </c>
    </row>
    <row r="7" customFormat="false" ht="15.75" hidden="false" customHeight="true" outlineLevel="0" collapsed="false">
      <c r="A7" s="106" t="n">
        <v>46228</v>
      </c>
      <c r="B7" s="107" t="n">
        <v>3</v>
      </c>
      <c r="C7" s="107" t="n">
        <v>2</v>
      </c>
      <c r="D7" s="107" t="n">
        <v>7</v>
      </c>
    </row>
    <row r="8" customFormat="false" ht="15.75" hidden="false" customHeight="true" outlineLevel="0" collapsed="false">
      <c r="A8" s="106" t="n">
        <v>46229</v>
      </c>
      <c r="B8" s="107" t="n">
        <v>2</v>
      </c>
      <c r="C8" s="107" t="n">
        <v>3</v>
      </c>
      <c r="D8" s="107" t="n">
        <v>8</v>
      </c>
    </row>
    <row r="9" customFormat="false" ht="15.75" hidden="false" customHeight="true" outlineLevel="0" collapsed="false">
      <c r="A9" s="106" t="n">
        <v>46230</v>
      </c>
      <c r="B9" s="107" t="n">
        <v>1</v>
      </c>
      <c r="C9" s="107" t="n">
        <v>3</v>
      </c>
      <c r="D9" s="107" t="n">
        <v>7</v>
      </c>
    </row>
    <row r="10" customFormat="false" ht="15.75" hidden="false" customHeight="true" outlineLevel="0" collapsed="false">
      <c r="A10" s="106" t="n">
        <v>46231</v>
      </c>
      <c r="B10" s="107" t="n">
        <v>2</v>
      </c>
      <c r="C10" s="107" t="n">
        <v>2</v>
      </c>
      <c r="D10" s="107" t="n">
        <v>7</v>
      </c>
    </row>
    <row r="11" customFormat="false" ht="15.75" hidden="false" customHeight="true" outlineLevel="0" collapsed="false">
      <c r="A11" s="106" t="n">
        <v>46232</v>
      </c>
      <c r="B11" s="107" t="n">
        <v>3</v>
      </c>
      <c r="C11" s="107" t="n">
        <v>2</v>
      </c>
      <c r="D11" s="107" t="n">
        <v>7</v>
      </c>
    </row>
    <row r="12" customFormat="false" ht="15.75" hidden="false" customHeight="true" outlineLevel="0" collapsed="false">
      <c r="A12" s="106" t="n">
        <v>46233</v>
      </c>
      <c r="B12" s="107" t="n">
        <v>3</v>
      </c>
      <c r="C12" s="107" t="n">
        <v>1</v>
      </c>
      <c r="D12" s="107" t="n">
        <v>7</v>
      </c>
    </row>
    <row r="13" customFormat="false" ht="15.75" hidden="false" customHeight="true" outlineLevel="0" collapsed="false">
      <c r="A13" s="106" t="n">
        <v>46234</v>
      </c>
      <c r="B13" s="107" t="n">
        <v>2</v>
      </c>
      <c r="C13" s="107" t="n">
        <v>1</v>
      </c>
      <c r="D13" s="107" t="n">
        <v>6</v>
      </c>
    </row>
    <row r="14" customFormat="false" ht="15.75" hidden="false" customHeight="true" outlineLevel="0" collapsed="false">
      <c r="A14" s="106" t="n">
        <v>46235</v>
      </c>
      <c r="B14" s="107" t="n">
        <v>2</v>
      </c>
      <c r="C14" s="107" t="n">
        <v>2</v>
      </c>
      <c r="D14" s="107" t="n">
        <v>7</v>
      </c>
    </row>
    <row r="15" customFormat="false" ht="15.75" hidden="false" customHeight="true" outlineLevel="0" collapsed="false">
      <c r="A15" s="106" t="n">
        <v>46236</v>
      </c>
      <c r="B15" s="107" t="n">
        <v>2</v>
      </c>
      <c r="C15" s="107" t="n">
        <v>2</v>
      </c>
      <c r="D15" s="107" t="n">
        <v>5</v>
      </c>
    </row>
    <row r="16" customFormat="false" ht="15.75" hidden="false" customHeight="true" outlineLevel="0" collapsed="false">
      <c r="A16" s="106" t="n">
        <v>46238</v>
      </c>
      <c r="B16" s="107" t="n">
        <v>4</v>
      </c>
      <c r="C16" s="107" t="n">
        <v>4</v>
      </c>
      <c r="D16" s="107" t="n">
        <v>5</v>
      </c>
    </row>
    <row r="17" customFormat="false" ht="15.75" hidden="false" customHeight="true" outlineLevel="0" collapsed="false">
      <c r="A17" s="106" t="n">
        <v>46245</v>
      </c>
      <c r="B17" s="107" t="n">
        <v>4</v>
      </c>
      <c r="C17" s="107" t="n">
        <v>5</v>
      </c>
      <c r="D17" s="107" t="n">
        <v>3</v>
      </c>
    </row>
    <row r="18" customFormat="false" ht="15.75" hidden="false" customHeight="true" outlineLevel="0" collapsed="false">
      <c r="A18" s="106" t="n">
        <v>46246</v>
      </c>
      <c r="B18" s="107" t="n">
        <v>3</v>
      </c>
      <c r="C18" s="107" t="n">
        <v>3</v>
      </c>
      <c r="D18" s="107" t="n">
        <v>5</v>
      </c>
    </row>
    <row r="19" customFormat="false" ht="15.75" hidden="false" customHeight="true" outlineLevel="0" collapsed="false">
      <c r="A19" s="106" t="n">
        <v>46247</v>
      </c>
      <c r="B19" s="107" t="n">
        <v>3</v>
      </c>
      <c r="C19" s="107" t="n">
        <v>3</v>
      </c>
      <c r="D19" s="107" t="n">
        <v>7</v>
      </c>
    </row>
    <row r="20" customFormat="false" ht="15.75" hidden="false" customHeight="true" outlineLevel="0" collapsed="false">
      <c r="A20" s="106" t="n">
        <v>46248</v>
      </c>
      <c r="B20" s="107" t="n">
        <v>2</v>
      </c>
      <c r="C20" s="107" t="n">
        <v>2</v>
      </c>
      <c r="D20" s="107" t="n">
        <v>7</v>
      </c>
    </row>
    <row r="21" customFormat="false" ht="15.75" hidden="false" customHeight="true" outlineLevel="0" collapsed="false">
      <c r="A21" s="106" t="n">
        <v>46249</v>
      </c>
      <c r="B21" s="107" t="n">
        <v>2</v>
      </c>
      <c r="C21" s="107" t="n">
        <v>2</v>
      </c>
      <c r="D21" s="107" t="n">
        <v>7</v>
      </c>
    </row>
    <row r="22" customFormat="false" ht="15.75" hidden="false" customHeight="true" outlineLevel="0" collapsed="false">
      <c r="A22" s="106" t="n">
        <v>46250</v>
      </c>
      <c r="B22" s="107" t="n">
        <v>3</v>
      </c>
      <c r="C22" s="107" t="n">
        <v>3</v>
      </c>
      <c r="D22" s="107" t="n">
        <v>7</v>
      </c>
    </row>
    <row r="23" customFormat="false" ht="15.75" hidden="false" customHeight="true" outlineLevel="0" collapsed="false">
      <c r="A23" s="106" t="n">
        <v>46251</v>
      </c>
      <c r="B23" s="107" t="n">
        <v>2</v>
      </c>
      <c r="C23" s="107" t="n">
        <v>2</v>
      </c>
      <c r="D23" s="107" t="n">
        <v>7</v>
      </c>
    </row>
    <row r="24" customFormat="false" ht="15.75" hidden="false" customHeight="true" outlineLevel="0" collapsed="false">
      <c r="A24" s="106" t="n">
        <v>46252</v>
      </c>
      <c r="B24" s="107" t="n">
        <v>2</v>
      </c>
      <c r="C24" s="107" t="n">
        <v>2</v>
      </c>
      <c r="D24" s="107" t="n">
        <v>7</v>
      </c>
    </row>
    <row r="25" customFormat="false" ht="15.75" hidden="false" customHeight="true" outlineLevel="0" collapsed="false">
      <c r="A25" s="106" t="n">
        <v>46254</v>
      </c>
      <c r="B25" s="107" t="n">
        <v>2</v>
      </c>
      <c r="C25" s="107" t="n">
        <v>1</v>
      </c>
      <c r="D25" s="107" t="n">
        <v>7</v>
      </c>
    </row>
    <row r="26" customFormat="false" ht="15.75" hidden="false" customHeight="true" outlineLevel="0" collapsed="false">
      <c r="A26" s="106" t="n">
        <v>46256</v>
      </c>
      <c r="B26" s="107" t="n">
        <v>2</v>
      </c>
      <c r="C26" s="107" t="n">
        <v>3</v>
      </c>
      <c r="D26" s="107" t="n">
        <v>6</v>
      </c>
    </row>
    <row r="27" customFormat="false" ht="15.75" hidden="false" customHeight="true" outlineLevel="0" collapsed="false">
      <c r="A27" s="106" t="n">
        <v>46257</v>
      </c>
      <c r="B27" s="107" t="n">
        <v>3</v>
      </c>
      <c r="C27" s="107" t="n">
        <v>4</v>
      </c>
      <c r="D27" s="107" t="n">
        <v>5</v>
      </c>
    </row>
    <row r="28" customFormat="false" ht="15.75" hidden="false" customHeight="true" outlineLevel="0" collapsed="false">
      <c r="A28" s="106" t="n">
        <v>46258</v>
      </c>
      <c r="B28" s="107" t="n">
        <v>2</v>
      </c>
      <c r="C28" s="107" t="n">
        <v>2</v>
      </c>
      <c r="D28" s="107" t="n">
        <v>6</v>
      </c>
    </row>
    <row r="29" customFormat="false" ht="15.75" hidden="false" customHeight="true" outlineLevel="0" collapsed="false">
      <c r="A29" s="106" t="n">
        <v>46259</v>
      </c>
      <c r="B29" s="107" t="n">
        <v>2</v>
      </c>
      <c r="C29" s="107" t="n">
        <v>2</v>
      </c>
      <c r="D29" s="107" t="n">
        <v>7</v>
      </c>
    </row>
    <row r="30" customFormat="false" ht="15.75" hidden="false" customHeight="true" outlineLevel="0" collapsed="false">
      <c r="A30" s="106" t="n">
        <v>46260</v>
      </c>
      <c r="B30" s="107" t="n">
        <v>2</v>
      </c>
      <c r="C30" s="107" t="n">
        <v>1</v>
      </c>
      <c r="D30" s="107" t="n">
        <v>7</v>
      </c>
    </row>
    <row r="31" customFormat="false" ht="15.75" hidden="false" customHeight="true" outlineLevel="0" collapsed="false">
      <c r="A31" s="106" t="n">
        <v>46261</v>
      </c>
      <c r="B31" s="107" t="n">
        <v>2</v>
      </c>
      <c r="C31" s="107" t="n">
        <v>3</v>
      </c>
      <c r="D31" s="107" t="n">
        <v>7</v>
      </c>
    </row>
    <row r="32" customFormat="false" ht="15.75" hidden="false" customHeight="true" outlineLevel="0" collapsed="false">
      <c r="A32" s="106" t="n">
        <v>46262</v>
      </c>
      <c r="B32" s="107" t="n">
        <v>2</v>
      </c>
      <c r="C32" s="107" t="n">
        <v>1</v>
      </c>
      <c r="D32" s="107" t="n">
        <v>7</v>
      </c>
    </row>
    <row r="33" customFormat="false" ht="15.75" hidden="false" customHeight="true" outlineLevel="0" collapsed="false">
      <c r="A33" s="106" t="n">
        <v>46263</v>
      </c>
      <c r="B33" s="107" t="n">
        <v>2</v>
      </c>
      <c r="C33" s="107" t="n">
        <v>2</v>
      </c>
      <c r="D33" s="107" t="n">
        <v>7</v>
      </c>
    </row>
    <row r="34" customFormat="false" ht="15.75" hidden="false" customHeight="true" outlineLevel="0" collapsed="false">
      <c r="A34" s="106" t="n">
        <v>46264</v>
      </c>
      <c r="B34" s="107" t="n">
        <v>3</v>
      </c>
      <c r="C34" s="107" t="n">
        <v>3</v>
      </c>
      <c r="D34" s="107" t="n">
        <v>7</v>
      </c>
    </row>
    <row r="35" customFormat="false" ht="15.75" hidden="false" customHeight="true" outlineLevel="0" collapsed="false">
      <c r="A35" s="106" t="n">
        <v>46265</v>
      </c>
      <c r="B35" s="107" t="n">
        <v>3</v>
      </c>
      <c r="C35" s="107" t="n">
        <v>1</v>
      </c>
      <c r="D35" s="107" t="n">
        <v>7</v>
      </c>
    </row>
    <row r="36" customFormat="false" ht="15.75" hidden="false" customHeight="true" outlineLevel="0" collapsed="false">
      <c r="A36" s="106" t="n">
        <v>46266</v>
      </c>
      <c r="B36" s="107" t="n">
        <v>2</v>
      </c>
      <c r="C36" s="107" t="n">
        <v>2</v>
      </c>
      <c r="D36" s="107" t="n">
        <v>7</v>
      </c>
    </row>
    <row r="37" customFormat="false" ht="15.75" hidden="false" customHeight="true" outlineLevel="0" collapsed="false">
      <c r="A37" s="106" t="n">
        <v>46267</v>
      </c>
      <c r="B37" s="107" t="n">
        <v>3</v>
      </c>
      <c r="C37" s="107" t="n">
        <v>2</v>
      </c>
      <c r="D37" s="107" t="n">
        <v>7</v>
      </c>
    </row>
    <row r="38" customFormat="false" ht="15.75" hidden="false" customHeight="true" outlineLevel="0" collapsed="false">
      <c r="A38" s="106" t="n">
        <v>46268</v>
      </c>
      <c r="B38" s="107" t="n">
        <v>2</v>
      </c>
      <c r="C38" s="107" t="n">
        <v>2</v>
      </c>
      <c r="D38" s="107" t="n">
        <v>7</v>
      </c>
    </row>
    <row r="39" customFormat="false" ht="15.75" hidden="false" customHeight="true" outlineLevel="0" collapsed="false">
      <c r="A39" s="106" t="n">
        <v>46269</v>
      </c>
      <c r="B39" s="107" t="n">
        <v>3</v>
      </c>
      <c r="C39" s="107" t="n">
        <v>3</v>
      </c>
      <c r="D39" s="107" t="n">
        <v>7</v>
      </c>
    </row>
    <row r="40" customFormat="false" ht="15.75" hidden="false" customHeight="true" outlineLevel="0" collapsed="false">
      <c r="A40" s="106" t="n">
        <v>46270</v>
      </c>
      <c r="B40" s="107" t="n">
        <v>3</v>
      </c>
      <c r="C40" s="107" t="n">
        <v>3</v>
      </c>
      <c r="D40" s="107" t="n">
        <v>6</v>
      </c>
    </row>
    <row r="41" customFormat="false" ht="15.75" hidden="false" customHeight="true" outlineLevel="0" collapsed="false">
      <c r="A41" s="106" t="n">
        <v>46271</v>
      </c>
      <c r="B41" s="107" t="n">
        <v>2</v>
      </c>
      <c r="C41" s="107" t="n">
        <v>2</v>
      </c>
      <c r="D41" s="107" t="n">
        <v>7</v>
      </c>
    </row>
    <row r="42" customFormat="false" ht="15.75" hidden="false" customHeight="true" outlineLevel="0" collapsed="false">
      <c r="A42" s="106" t="n">
        <v>46272</v>
      </c>
      <c r="B42" s="107" t="n">
        <v>2</v>
      </c>
      <c r="C42" s="107" t="n">
        <v>2</v>
      </c>
      <c r="D42" s="107" t="n">
        <v>7</v>
      </c>
    </row>
    <row r="43" customFormat="false" ht="15.75" hidden="false" customHeight="true" outlineLevel="0" collapsed="false">
      <c r="A43" s="106" t="n">
        <v>46273</v>
      </c>
      <c r="B43" s="107" t="n">
        <v>2</v>
      </c>
      <c r="C43" s="107" t="n">
        <v>3</v>
      </c>
      <c r="D43" s="107" t="n">
        <v>7</v>
      </c>
    </row>
    <row r="44" customFormat="false" ht="15.75" hidden="false" customHeight="true" outlineLevel="0" collapsed="false">
      <c r="A44" s="106" t="n">
        <v>46274</v>
      </c>
      <c r="B44" s="107" t="n">
        <v>2</v>
      </c>
      <c r="C44" s="107" t="n">
        <v>2</v>
      </c>
      <c r="D44" s="107" t="n">
        <v>7</v>
      </c>
    </row>
    <row r="45" customFormat="false" ht="15.75" hidden="false" customHeight="true" outlineLevel="0" collapsed="false">
      <c r="A45" s="106" t="n">
        <v>46275</v>
      </c>
      <c r="B45" s="107" t="n">
        <v>2</v>
      </c>
      <c r="C45" s="107" t="n">
        <v>2</v>
      </c>
      <c r="D45" s="107" t="n">
        <v>7</v>
      </c>
    </row>
    <row r="46" customFormat="false" ht="15.75" hidden="false" customHeight="true" outlineLevel="0" collapsed="false">
      <c r="A46" s="106" t="n">
        <v>46276</v>
      </c>
      <c r="B46" s="107" t="n">
        <v>2</v>
      </c>
      <c r="C46" s="107" t="n">
        <v>3</v>
      </c>
      <c r="D46" s="107" t="n">
        <v>7</v>
      </c>
    </row>
    <row r="47" customFormat="false" ht="15.75" hidden="false" customHeight="true" outlineLevel="0" collapsed="false">
      <c r="A47" s="106" t="n">
        <v>46277</v>
      </c>
      <c r="B47" s="107" t="n">
        <v>3</v>
      </c>
      <c r="C47" s="107" t="n">
        <v>3</v>
      </c>
      <c r="D47" s="107" t="n">
        <v>6</v>
      </c>
    </row>
    <row r="48" customFormat="false" ht="15.75" hidden="false" customHeight="true" outlineLevel="0" collapsed="false">
      <c r="A48" s="106" t="n">
        <v>46278</v>
      </c>
      <c r="B48" s="107" t="n">
        <v>3</v>
      </c>
      <c r="C48" s="107" t="n">
        <v>3</v>
      </c>
      <c r="D48" s="107" t="n">
        <v>7</v>
      </c>
    </row>
    <row r="49" customFormat="false" ht="15.75" hidden="false" customHeight="true" outlineLevel="0" collapsed="false">
      <c r="A49" s="106" t="n">
        <v>46279</v>
      </c>
      <c r="B49" s="107" t="n">
        <v>2</v>
      </c>
      <c r="C49" s="107" t="n">
        <v>3</v>
      </c>
      <c r="D49" s="107" t="n">
        <v>7</v>
      </c>
    </row>
    <row r="50" customFormat="false" ht="15.75" hidden="false" customHeight="true" outlineLevel="0" collapsed="false">
      <c r="A50" s="106" t="n">
        <v>46280</v>
      </c>
      <c r="B50" s="107" t="n">
        <v>3</v>
      </c>
      <c r="C50" s="107" t="n">
        <v>2</v>
      </c>
      <c r="D50" s="107" t="n">
        <v>8</v>
      </c>
    </row>
    <row r="51" customFormat="false" ht="15.75" hidden="false" customHeight="true" outlineLevel="0" collapsed="false">
      <c r="A51" s="106" t="n">
        <v>46281</v>
      </c>
      <c r="B51" s="107" t="n">
        <v>3</v>
      </c>
      <c r="C51" s="107" t="n">
        <v>3</v>
      </c>
      <c r="D51" s="107" t="n">
        <v>7</v>
      </c>
    </row>
    <row r="52" customFormat="false" ht="15.75" hidden="false" customHeight="true" outlineLevel="0" collapsed="false">
      <c r="A52" s="106" t="n">
        <v>46282</v>
      </c>
      <c r="B52" s="107" t="n">
        <v>3</v>
      </c>
      <c r="C52" s="107" t="n">
        <v>3</v>
      </c>
      <c r="D52" s="107" t="n">
        <v>7</v>
      </c>
    </row>
    <row r="53" customFormat="false" ht="15.75" hidden="false" customHeight="true" outlineLevel="0" collapsed="false">
      <c r="A53" s="106" t="n">
        <v>46283</v>
      </c>
      <c r="B53" s="107" t="n">
        <v>2</v>
      </c>
      <c r="C53" s="107" t="n">
        <v>2</v>
      </c>
      <c r="D53" s="107" t="n">
        <v>7</v>
      </c>
    </row>
    <row r="54" customFormat="false" ht="15.75" hidden="false" customHeight="true" outlineLevel="0" collapsed="false">
      <c r="A54" s="106" t="n">
        <v>46284</v>
      </c>
      <c r="B54" s="107" t="n">
        <v>2</v>
      </c>
      <c r="C54" s="107" t="n">
        <v>2</v>
      </c>
      <c r="D54" s="107" t="n">
        <v>6</v>
      </c>
    </row>
    <row r="55" customFormat="false" ht="15.75" hidden="false" customHeight="true" outlineLevel="0" collapsed="false">
      <c r="A55" s="106" t="n">
        <v>46285</v>
      </c>
      <c r="B55" s="107" t="n">
        <v>3</v>
      </c>
      <c r="C55" s="107" t="n">
        <v>2</v>
      </c>
      <c r="D55" s="107" t="n">
        <v>7</v>
      </c>
    </row>
    <row r="56" customFormat="false" ht="15.75" hidden="false" customHeight="true" outlineLevel="0" collapsed="false">
      <c r="A56" s="106" t="n">
        <v>46286</v>
      </c>
      <c r="B56" s="107" t="n">
        <v>2</v>
      </c>
      <c r="C56" s="107" t="n">
        <v>2</v>
      </c>
      <c r="D56" s="107" t="n">
        <v>6</v>
      </c>
    </row>
    <row r="57" customFormat="false" ht="15.75" hidden="false" customHeight="true" outlineLevel="0" collapsed="false">
      <c r="A57" s="106" t="n">
        <v>46287</v>
      </c>
      <c r="B57" s="107" t="n">
        <v>2</v>
      </c>
      <c r="C57" s="107" t="n">
        <v>2</v>
      </c>
      <c r="D57" s="107" t="n">
        <v>8</v>
      </c>
    </row>
    <row r="58" customFormat="false" ht="15.75" hidden="false" customHeight="true" outlineLevel="0" collapsed="false">
      <c r="A58" s="106" t="n">
        <v>46288</v>
      </c>
      <c r="B58" s="107" t="n">
        <v>2</v>
      </c>
      <c r="C58" s="107" t="n">
        <v>3</v>
      </c>
      <c r="D58" s="107" t="n">
        <v>6</v>
      </c>
    </row>
    <row r="59" customFormat="false" ht="15.75" hidden="false" customHeight="true" outlineLevel="0" collapsed="false">
      <c r="A59" s="106" t="n">
        <v>46289</v>
      </c>
      <c r="B59" s="107" t="n">
        <v>2</v>
      </c>
      <c r="C59" s="107" t="n">
        <v>3</v>
      </c>
      <c r="D59" s="107" t="n">
        <v>7</v>
      </c>
    </row>
    <row r="60" customFormat="false" ht="15.75" hidden="false" customHeight="true" outlineLevel="0" collapsed="false">
      <c r="A60" s="106" t="n">
        <v>46290</v>
      </c>
      <c r="B60" s="107" t="n">
        <v>2</v>
      </c>
      <c r="C60" s="107" t="n">
        <v>2</v>
      </c>
      <c r="D60" s="107" t="n">
        <v>7</v>
      </c>
    </row>
    <row r="61" customFormat="false" ht="15.75" hidden="false" customHeight="true" outlineLevel="0" collapsed="false">
      <c r="A61" s="106" t="n">
        <v>46291</v>
      </c>
      <c r="B61" s="107" t="n">
        <v>2</v>
      </c>
      <c r="C61" s="107" t="n">
        <v>2</v>
      </c>
      <c r="D61" s="107" t="n">
        <v>7</v>
      </c>
    </row>
    <row r="62" customFormat="false" ht="15.75" hidden="false" customHeight="true" outlineLevel="0" collapsed="false">
      <c r="A62" s="106" t="n">
        <v>46292</v>
      </c>
      <c r="B62" s="107" t="n">
        <v>3</v>
      </c>
      <c r="C62" s="107" t="n">
        <v>2</v>
      </c>
      <c r="D62" s="107" t="n">
        <v>7</v>
      </c>
    </row>
    <row r="63" customFormat="false" ht="15.75" hidden="false" customHeight="true" outlineLevel="0" collapsed="false">
      <c r="A63" s="106" t="n">
        <v>46293</v>
      </c>
      <c r="B63" s="107" t="n">
        <v>3</v>
      </c>
      <c r="C63" s="107" t="n">
        <v>3</v>
      </c>
      <c r="D63" s="107" t="n">
        <v>7</v>
      </c>
    </row>
    <row r="64" customFormat="false" ht="15.75" hidden="false" customHeight="true" outlineLevel="0" collapsed="false">
      <c r="A64" s="106" t="n">
        <v>46294</v>
      </c>
      <c r="B64" s="107" t="n">
        <v>3</v>
      </c>
      <c r="C64" s="107" t="n">
        <v>4</v>
      </c>
      <c r="D64" s="107" t="n">
        <v>5</v>
      </c>
    </row>
    <row r="65" customFormat="false" ht="15.75" hidden="false" customHeight="true" outlineLevel="0" collapsed="false">
      <c r="A65" s="106" t="n">
        <v>46295</v>
      </c>
      <c r="B65" s="107" t="n">
        <v>2</v>
      </c>
      <c r="C65" s="107" t="n">
        <v>2</v>
      </c>
      <c r="D65" s="107" t="n">
        <v>7</v>
      </c>
    </row>
    <row r="66" customFormat="false" ht="15.75" hidden="false" customHeight="true" outlineLevel="0" collapsed="false">
      <c r="A66" s="106" t="n">
        <v>46297</v>
      </c>
      <c r="B66" s="107" t="n">
        <v>2</v>
      </c>
      <c r="C66" s="107" t="n">
        <v>2</v>
      </c>
      <c r="D66" s="107" t="n">
        <v>7</v>
      </c>
    </row>
    <row r="67" customFormat="false" ht="15.75" hidden="false" customHeight="true" outlineLevel="0" collapsed="false">
      <c r="A67" s="106" t="n">
        <v>46299</v>
      </c>
      <c r="B67" s="107" t="n">
        <v>3</v>
      </c>
      <c r="C67" s="107" t="n">
        <v>3</v>
      </c>
      <c r="D67" s="107" t="n">
        <v>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</cols>
  <sheetData>
    <row r="1" customFormat="false" ht="21.75" hidden="false" customHeight="true" outlineLevel="0" collapsed="false">
      <c r="A1" s="46" t="s">
        <v>299</v>
      </c>
      <c r="B1" s="46"/>
    </row>
    <row r="2" customFormat="false" ht="7.5" hidden="false" customHeight="true" outlineLevel="0" collapsed="false"/>
    <row r="3" customFormat="false" ht="15" hidden="false" customHeight="false" outlineLevel="0" collapsed="false">
      <c r="A3" s="9" t="s">
        <v>118</v>
      </c>
      <c r="B3" s="9" t="s">
        <v>300</v>
      </c>
    </row>
    <row r="4" customFormat="false" ht="15.75" hidden="false" customHeight="true" outlineLevel="0" collapsed="false">
      <c r="A4" s="106" t="n">
        <v>46225</v>
      </c>
      <c r="B4" s="107" t="n">
        <v>61.4</v>
      </c>
    </row>
    <row r="5" customFormat="false" ht="15.75" hidden="false" customHeight="true" outlineLevel="0" collapsed="false">
      <c r="A5" s="106" t="n">
        <v>46226</v>
      </c>
      <c r="B5" s="107" t="n">
        <v>61.3</v>
      </c>
    </row>
    <row r="6" customFormat="false" ht="15.75" hidden="false" customHeight="true" outlineLevel="0" collapsed="false">
      <c r="A6" s="106" t="n">
        <v>46227</v>
      </c>
      <c r="B6" s="107" t="n">
        <v>61.8</v>
      </c>
    </row>
    <row r="7" customFormat="false" ht="15.75" hidden="false" customHeight="true" outlineLevel="0" collapsed="false">
      <c r="A7" s="106" t="n">
        <v>46228</v>
      </c>
      <c r="B7" s="107" t="n">
        <v>61.3</v>
      </c>
    </row>
    <row r="8" customFormat="false" ht="15.75" hidden="false" customHeight="true" outlineLevel="0" collapsed="false">
      <c r="A8" s="106" t="n">
        <v>46229</v>
      </c>
      <c r="B8" s="107" t="n">
        <v>61.1</v>
      </c>
    </row>
    <row r="9" customFormat="false" ht="15.75" hidden="false" customHeight="true" outlineLevel="0" collapsed="false">
      <c r="A9" s="106" t="n">
        <v>46230</v>
      </c>
      <c r="B9" s="107" t="n">
        <v>61.8</v>
      </c>
    </row>
    <row r="10" customFormat="false" ht="15.75" hidden="false" customHeight="true" outlineLevel="0" collapsed="false">
      <c r="A10" s="106" t="n">
        <v>46231</v>
      </c>
      <c r="B10" s="107" t="n">
        <v>61.7</v>
      </c>
    </row>
    <row r="11" customFormat="false" ht="15.75" hidden="false" customHeight="true" outlineLevel="0" collapsed="false">
      <c r="A11" s="106" t="n">
        <v>46232</v>
      </c>
      <c r="B11" s="107" t="n">
        <v>62.4</v>
      </c>
    </row>
    <row r="12" customFormat="false" ht="15.75" hidden="false" customHeight="true" outlineLevel="0" collapsed="false">
      <c r="A12" s="106" t="n">
        <v>46233</v>
      </c>
      <c r="B12" s="107" t="n">
        <v>62</v>
      </c>
    </row>
    <row r="13" customFormat="false" ht="15.75" hidden="false" customHeight="true" outlineLevel="0" collapsed="false">
      <c r="A13" s="106" t="n">
        <v>46234</v>
      </c>
      <c r="B13" s="107" t="n">
        <v>62.1</v>
      </c>
    </row>
    <row r="14" customFormat="false" ht="15.75" hidden="false" customHeight="true" outlineLevel="0" collapsed="false">
      <c r="A14" s="106" t="n">
        <v>46235</v>
      </c>
      <c r="B14" s="107" t="n">
        <v>61.4</v>
      </c>
    </row>
    <row r="15" customFormat="false" ht="15.75" hidden="false" customHeight="true" outlineLevel="0" collapsed="false">
      <c r="A15" s="106" t="n">
        <v>46236</v>
      </c>
      <c r="B15" s="107" t="n">
        <v>62.2</v>
      </c>
    </row>
    <row r="16" customFormat="false" ht="15.75" hidden="false" customHeight="true" outlineLevel="0" collapsed="false">
      <c r="A16" s="106" t="n">
        <v>46238</v>
      </c>
      <c r="B16" s="107" t="n">
        <v>62.4</v>
      </c>
    </row>
    <row r="17" customFormat="false" ht="15.75" hidden="false" customHeight="true" outlineLevel="0" collapsed="false">
      <c r="A17" s="106" t="n">
        <v>46245</v>
      </c>
      <c r="B17" s="107" t="n">
        <v>62.4</v>
      </c>
    </row>
    <row r="18" customFormat="false" ht="15.75" hidden="false" customHeight="true" outlineLevel="0" collapsed="false">
      <c r="A18" s="106" t="n">
        <v>46246</v>
      </c>
      <c r="B18" s="107" t="n">
        <v>63</v>
      </c>
    </row>
    <row r="19" customFormat="false" ht="15.75" hidden="false" customHeight="true" outlineLevel="0" collapsed="false">
      <c r="A19" s="106" t="n">
        <v>46247</v>
      </c>
      <c r="B19" s="107" t="n">
        <v>62.2</v>
      </c>
    </row>
    <row r="20" customFormat="false" ht="15.75" hidden="false" customHeight="true" outlineLevel="0" collapsed="false">
      <c r="A20" s="106" t="n">
        <v>46248</v>
      </c>
      <c r="B20" s="107" t="n">
        <v>62.7</v>
      </c>
    </row>
    <row r="21" customFormat="false" ht="15.75" hidden="false" customHeight="true" outlineLevel="0" collapsed="false">
      <c r="A21" s="106" t="n">
        <v>46249</v>
      </c>
      <c r="B21" s="107" t="n">
        <v>62</v>
      </c>
    </row>
    <row r="22" customFormat="false" ht="15.75" hidden="false" customHeight="true" outlineLevel="0" collapsed="false">
      <c r="A22" s="106" t="n">
        <v>46250</v>
      </c>
      <c r="B22" s="107" t="n">
        <v>62.2</v>
      </c>
    </row>
    <row r="23" customFormat="false" ht="15.75" hidden="false" customHeight="true" outlineLevel="0" collapsed="false">
      <c r="A23" s="106" t="n">
        <v>46251</v>
      </c>
      <c r="B23" s="107" t="n">
        <v>62.9</v>
      </c>
    </row>
    <row r="24" customFormat="false" ht="15.75" hidden="false" customHeight="true" outlineLevel="0" collapsed="false">
      <c r="A24" s="106" t="n">
        <v>46252</v>
      </c>
      <c r="B24" s="108"/>
    </row>
    <row r="25" customFormat="false" ht="15.75" hidden="false" customHeight="true" outlineLevel="0" collapsed="false">
      <c r="A25" s="106" t="n">
        <v>46254</v>
      </c>
      <c r="B25" s="107" t="n">
        <v>62.4</v>
      </c>
    </row>
    <row r="26" customFormat="false" ht="15.75" hidden="false" customHeight="true" outlineLevel="0" collapsed="false">
      <c r="A26" s="106" t="n">
        <v>46256</v>
      </c>
      <c r="B26" s="107" t="n">
        <v>62.8</v>
      </c>
    </row>
    <row r="27" customFormat="false" ht="15.75" hidden="false" customHeight="true" outlineLevel="0" collapsed="false">
      <c r="A27" s="106" t="n">
        <v>46257</v>
      </c>
      <c r="B27" s="107" t="n">
        <v>62.2</v>
      </c>
    </row>
    <row r="28" customFormat="false" ht="15.75" hidden="false" customHeight="true" outlineLevel="0" collapsed="false">
      <c r="A28" s="106" t="n">
        <v>46258</v>
      </c>
      <c r="B28" s="107" t="n">
        <v>63.2</v>
      </c>
    </row>
    <row r="29" customFormat="false" ht="15.75" hidden="false" customHeight="true" outlineLevel="0" collapsed="false">
      <c r="A29" s="106" t="n">
        <v>46259</v>
      </c>
      <c r="B29" s="107" t="n">
        <v>63.4</v>
      </c>
    </row>
    <row r="30" customFormat="false" ht="15.75" hidden="false" customHeight="true" outlineLevel="0" collapsed="false">
      <c r="A30" s="106" t="n">
        <v>46260</v>
      </c>
      <c r="B30" s="107" t="n">
        <v>63.2</v>
      </c>
    </row>
    <row r="31" customFormat="false" ht="15.75" hidden="false" customHeight="true" outlineLevel="0" collapsed="false">
      <c r="A31" s="106" t="n">
        <v>46261</v>
      </c>
      <c r="B31" s="107" t="n">
        <v>63.4</v>
      </c>
    </row>
    <row r="32" customFormat="false" ht="15.75" hidden="false" customHeight="true" outlineLevel="0" collapsed="false">
      <c r="A32" s="106" t="n">
        <v>46262</v>
      </c>
      <c r="B32" s="107" t="n">
        <v>62.8</v>
      </c>
    </row>
    <row r="33" customFormat="false" ht="15.75" hidden="false" customHeight="true" outlineLevel="0" collapsed="false">
      <c r="A33" s="106" t="n">
        <v>46263</v>
      </c>
      <c r="B33" s="107" t="n">
        <v>62.8</v>
      </c>
    </row>
    <row r="34" customFormat="false" ht="15.75" hidden="false" customHeight="true" outlineLevel="0" collapsed="false">
      <c r="A34" s="106" t="n">
        <v>46264</v>
      </c>
      <c r="B34" s="107" t="n">
        <v>62.6</v>
      </c>
    </row>
    <row r="35" customFormat="false" ht="15.75" hidden="false" customHeight="true" outlineLevel="0" collapsed="false">
      <c r="A35" s="106" t="n">
        <v>46265</v>
      </c>
      <c r="B35" s="107" t="n">
        <v>62.9</v>
      </c>
    </row>
    <row r="36" customFormat="false" ht="15.75" hidden="false" customHeight="true" outlineLevel="0" collapsed="false">
      <c r="A36" s="106" t="n">
        <v>46266</v>
      </c>
      <c r="B36" s="107" t="n">
        <v>63</v>
      </c>
    </row>
    <row r="37" customFormat="false" ht="15.75" hidden="false" customHeight="true" outlineLevel="0" collapsed="false">
      <c r="A37" s="106" t="n">
        <v>46267</v>
      </c>
      <c r="B37" s="107" t="n">
        <v>62.4</v>
      </c>
    </row>
    <row r="38" customFormat="false" ht="15.75" hidden="false" customHeight="true" outlineLevel="0" collapsed="false">
      <c r="A38" s="106" t="n">
        <v>46268</v>
      </c>
      <c r="B38" s="107" t="n">
        <v>63</v>
      </c>
    </row>
    <row r="39" customFormat="false" ht="15.75" hidden="false" customHeight="true" outlineLevel="0" collapsed="false">
      <c r="A39" s="106" t="n">
        <v>46269</v>
      </c>
      <c r="B39" s="107" t="n">
        <v>62.1</v>
      </c>
    </row>
    <row r="40" customFormat="false" ht="15.75" hidden="false" customHeight="true" outlineLevel="0" collapsed="false">
      <c r="A40" s="106" t="n">
        <v>46270</v>
      </c>
      <c r="B40" s="107" t="n">
        <v>62.8</v>
      </c>
    </row>
    <row r="41" customFormat="false" ht="15.75" hidden="false" customHeight="true" outlineLevel="0" collapsed="false">
      <c r="A41" s="106" t="n">
        <v>46271</v>
      </c>
      <c r="B41" s="107" t="n">
        <v>62.6</v>
      </c>
    </row>
    <row r="42" customFormat="false" ht="15.75" hidden="false" customHeight="true" outlineLevel="0" collapsed="false">
      <c r="A42" s="106" t="n">
        <v>46272</v>
      </c>
      <c r="B42" s="107" t="n">
        <v>63.4</v>
      </c>
    </row>
    <row r="43" customFormat="false" ht="15.75" hidden="false" customHeight="true" outlineLevel="0" collapsed="false">
      <c r="A43" s="106" t="n">
        <v>46273</v>
      </c>
      <c r="B43" s="107" t="n">
        <v>62.4</v>
      </c>
    </row>
    <row r="44" customFormat="false" ht="15.75" hidden="false" customHeight="true" outlineLevel="0" collapsed="false">
      <c r="A44" s="106" t="n">
        <v>46274</v>
      </c>
      <c r="B44" s="107" t="n">
        <v>62.8</v>
      </c>
    </row>
    <row r="45" customFormat="false" ht="15.75" hidden="false" customHeight="true" outlineLevel="0" collapsed="false">
      <c r="A45" s="106" t="n">
        <v>46275</v>
      </c>
      <c r="B45" s="107" t="n">
        <v>62.4</v>
      </c>
    </row>
    <row r="46" customFormat="false" ht="15.75" hidden="false" customHeight="true" outlineLevel="0" collapsed="false">
      <c r="A46" s="106" t="n">
        <v>46276</v>
      </c>
      <c r="B46" s="107" t="n">
        <v>63.1</v>
      </c>
    </row>
    <row r="47" customFormat="false" ht="15.75" hidden="false" customHeight="true" outlineLevel="0" collapsed="false">
      <c r="A47" s="106" t="n">
        <v>46277</v>
      </c>
      <c r="B47" s="107" t="n">
        <v>62</v>
      </c>
    </row>
    <row r="48" customFormat="false" ht="15.75" hidden="false" customHeight="true" outlineLevel="0" collapsed="false">
      <c r="A48" s="106" t="n">
        <v>46278</v>
      </c>
      <c r="B48" s="107" t="n">
        <v>62.9</v>
      </c>
    </row>
    <row r="49" customFormat="false" ht="15.75" hidden="false" customHeight="true" outlineLevel="0" collapsed="false">
      <c r="A49" s="106" t="n">
        <v>46279</v>
      </c>
      <c r="B49" s="107" t="n">
        <v>62.1</v>
      </c>
    </row>
    <row r="50" customFormat="false" ht="15.75" hidden="false" customHeight="true" outlineLevel="0" collapsed="false">
      <c r="A50" s="106" t="n">
        <v>46280</v>
      </c>
      <c r="B50" s="107" t="n">
        <v>62.5</v>
      </c>
    </row>
    <row r="51" customFormat="false" ht="15.75" hidden="false" customHeight="true" outlineLevel="0" collapsed="false">
      <c r="A51" s="106" t="n">
        <v>46281</v>
      </c>
      <c r="B51" s="107" t="n">
        <v>62.2</v>
      </c>
    </row>
    <row r="52" customFormat="false" ht="15.75" hidden="false" customHeight="true" outlineLevel="0" collapsed="false">
      <c r="A52" s="106" t="n">
        <v>46282</v>
      </c>
      <c r="B52" s="107" t="n">
        <v>62.8</v>
      </c>
    </row>
    <row r="53" customFormat="false" ht="15.75" hidden="false" customHeight="true" outlineLevel="0" collapsed="false">
      <c r="A53" s="106" t="n">
        <v>46283</v>
      </c>
      <c r="B53" s="107" t="n">
        <v>62.3</v>
      </c>
    </row>
    <row r="54" customFormat="false" ht="15.75" hidden="false" customHeight="true" outlineLevel="0" collapsed="false">
      <c r="A54" s="106" t="n">
        <v>46284</v>
      </c>
      <c r="B54" s="107" t="n">
        <v>62.8</v>
      </c>
    </row>
    <row r="55" customFormat="false" ht="15.75" hidden="false" customHeight="true" outlineLevel="0" collapsed="false">
      <c r="A55" s="106" t="n">
        <v>46285</v>
      </c>
      <c r="B55" s="107" t="n">
        <v>62.6</v>
      </c>
    </row>
    <row r="56" customFormat="false" ht="15.75" hidden="false" customHeight="true" outlineLevel="0" collapsed="false">
      <c r="A56" s="106" t="n">
        <v>46286</v>
      </c>
      <c r="B56" s="107" t="n">
        <v>62.9</v>
      </c>
    </row>
    <row r="57" customFormat="false" ht="15.75" hidden="false" customHeight="true" outlineLevel="0" collapsed="false">
      <c r="A57" s="106" t="n">
        <v>46287</v>
      </c>
      <c r="B57" s="107" t="n">
        <v>62.8</v>
      </c>
    </row>
    <row r="58" customFormat="false" ht="15.75" hidden="false" customHeight="true" outlineLevel="0" collapsed="false">
      <c r="A58" s="106" t="n">
        <v>46288</v>
      </c>
      <c r="B58" s="107" t="n">
        <v>63.5</v>
      </c>
    </row>
    <row r="59" customFormat="false" ht="15.75" hidden="false" customHeight="true" outlineLevel="0" collapsed="false">
      <c r="A59" s="106" t="n">
        <v>46289</v>
      </c>
      <c r="B59" s="107" t="n">
        <v>62</v>
      </c>
    </row>
    <row r="60" customFormat="false" ht="15.75" hidden="false" customHeight="true" outlineLevel="0" collapsed="false">
      <c r="A60" s="106" t="n">
        <v>46290</v>
      </c>
      <c r="B60" s="107" t="n">
        <v>63</v>
      </c>
    </row>
    <row r="61" customFormat="false" ht="15.75" hidden="false" customHeight="true" outlineLevel="0" collapsed="false">
      <c r="A61" s="106" t="n">
        <v>46291</v>
      </c>
      <c r="B61" s="107" t="n">
        <v>62.1</v>
      </c>
    </row>
    <row r="62" customFormat="false" ht="15.75" hidden="false" customHeight="true" outlineLevel="0" collapsed="false">
      <c r="A62" s="106" t="n">
        <v>46292</v>
      </c>
      <c r="B62" s="107" t="n">
        <v>62.4</v>
      </c>
    </row>
    <row r="63" customFormat="false" ht="15.75" hidden="false" customHeight="true" outlineLevel="0" collapsed="false">
      <c r="A63" s="106" t="n">
        <v>46293</v>
      </c>
      <c r="B63" s="108"/>
    </row>
    <row r="64" customFormat="false" ht="15.75" hidden="false" customHeight="true" outlineLevel="0" collapsed="false">
      <c r="A64" s="106" t="n">
        <v>46294</v>
      </c>
      <c r="B64" s="107" t="n">
        <v>63.2</v>
      </c>
    </row>
    <row r="65" customFormat="false" ht="15.75" hidden="false" customHeight="true" outlineLevel="0" collapsed="false">
      <c r="A65" s="106" t="n">
        <v>46295</v>
      </c>
      <c r="B65" s="107" t="n">
        <v>62.5</v>
      </c>
    </row>
    <row r="66" customFormat="false" ht="15.75" hidden="false" customHeight="true" outlineLevel="0" collapsed="false">
      <c r="A66" s="106" t="n">
        <v>46297</v>
      </c>
      <c r="B66" s="108"/>
    </row>
    <row r="67" customFormat="false" ht="15.75" hidden="false" customHeight="true" outlineLevel="0" collapsed="false">
      <c r="A67" s="106" t="n">
        <v>46299</v>
      </c>
      <c r="B67" s="107" t="n">
        <v>61.9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6" min="5" style="0" width="7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21.75" hidden="false" customHeight="true" outlineLevel="0" collapsed="false">
      <c r="A1" s="46" t="s">
        <v>301</v>
      </c>
      <c r="B1" s="46"/>
      <c r="C1" s="46"/>
      <c r="D1" s="46"/>
      <c r="E1" s="46"/>
      <c r="F1" s="46"/>
      <c r="G1" s="46"/>
      <c r="H1" s="46"/>
    </row>
    <row r="2" customFormat="false" ht="7.5" hidden="false" customHeight="true" outlineLevel="0" collapsed="false"/>
    <row r="3" customFormat="false" ht="15" hidden="false" customHeight="false" outlineLevel="0" collapsed="false">
      <c r="A3" s="9" t="s">
        <v>118</v>
      </c>
      <c r="B3" s="9" t="s">
        <v>119</v>
      </c>
      <c r="C3" s="9" t="s">
        <v>302</v>
      </c>
      <c r="D3" s="47" t="s">
        <v>121</v>
      </c>
      <c r="E3" s="9" t="s">
        <v>303</v>
      </c>
      <c r="F3" s="9" t="s">
        <v>123</v>
      </c>
      <c r="G3" s="9" t="s">
        <v>124</v>
      </c>
      <c r="H3" s="9" t="s">
        <v>132</v>
      </c>
    </row>
    <row r="4" customFormat="false" ht="15.75" hidden="false" customHeight="true" outlineLevel="0" collapsed="false">
      <c r="A4" s="106" t="n">
        <v>46225</v>
      </c>
      <c r="B4" s="109" t="s">
        <v>133</v>
      </c>
      <c r="C4" s="107" t="n">
        <v>60</v>
      </c>
      <c r="D4" s="107" t="n">
        <v>7</v>
      </c>
      <c r="E4" s="107" t="n">
        <v>4</v>
      </c>
      <c r="F4" s="107" t="n">
        <v>4</v>
      </c>
      <c r="G4" s="107" t="n">
        <v>3</v>
      </c>
      <c r="H4" s="110"/>
    </row>
    <row r="5" customFormat="false" ht="15.75" hidden="false" customHeight="true" outlineLevel="0" collapsed="false">
      <c r="A5" s="106" t="n">
        <v>46226</v>
      </c>
      <c r="B5" s="109" t="s">
        <v>133</v>
      </c>
      <c r="C5" s="107" t="n">
        <v>60</v>
      </c>
      <c r="D5" s="107" t="n">
        <v>6</v>
      </c>
      <c r="E5" s="107" t="n">
        <v>2</v>
      </c>
      <c r="F5" s="107" t="n">
        <v>2</v>
      </c>
      <c r="G5" s="107" t="n">
        <v>4</v>
      </c>
      <c r="H5" s="111" t="s">
        <v>136</v>
      </c>
    </row>
    <row r="6" customFormat="false" ht="15.75" hidden="false" customHeight="true" outlineLevel="0" collapsed="false">
      <c r="A6" s="106" t="n">
        <v>46227</v>
      </c>
      <c r="B6" s="109" t="s">
        <v>133</v>
      </c>
      <c r="C6" s="107" t="n">
        <v>60</v>
      </c>
      <c r="D6" s="107" t="n">
        <v>6</v>
      </c>
      <c r="E6" s="107" t="n">
        <v>4</v>
      </c>
      <c r="F6" s="107" t="n">
        <v>4</v>
      </c>
      <c r="G6" s="107" t="n">
        <v>2</v>
      </c>
      <c r="H6" s="110"/>
    </row>
    <row r="7" customFormat="false" ht="15.75" hidden="false" customHeight="true" outlineLevel="0" collapsed="false">
      <c r="A7" s="106" t="n">
        <v>46227</v>
      </c>
      <c r="B7" s="109" t="s">
        <v>304</v>
      </c>
      <c r="C7" s="107" t="n">
        <v>60</v>
      </c>
      <c r="D7" s="107" t="n">
        <v>8</v>
      </c>
      <c r="E7" s="107" t="n">
        <v>4</v>
      </c>
      <c r="F7" s="107" t="n">
        <v>4</v>
      </c>
      <c r="G7" s="107" t="n">
        <v>4</v>
      </c>
      <c r="H7" s="111" t="s">
        <v>143</v>
      </c>
    </row>
    <row r="8" customFormat="false" ht="15.75" hidden="false" customHeight="true" outlineLevel="0" collapsed="false">
      <c r="A8" s="106" t="n">
        <v>46228</v>
      </c>
      <c r="B8" s="109" t="s">
        <v>133</v>
      </c>
      <c r="C8" s="107" t="n">
        <v>60</v>
      </c>
      <c r="D8" s="107" t="n">
        <v>6</v>
      </c>
      <c r="E8" s="107" t="n">
        <v>4</v>
      </c>
      <c r="F8" s="107" t="n">
        <v>3</v>
      </c>
      <c r="G8" s="107" t="n">
        <v>3</v>
      </c>
      <c r="H8" s="110"/>
    </row>
    <row r="9" customFormat="false" ht="15.75" hidden="false" customHeight="true" outlineLevel="0" collapsed="false">
      <c r="A9" s="106" t="n">
        <v>46229</v>
      </c>
      <c r="B9" s="109" t="s">
        <v>133</v>
      </c>
      <c r="C9" s="107" t="n">
        <v>60</v>
      </c>
      <c r="D9" s="107" t="n">
        <v>6</v>
      </c>
      <c r="E9" s="107" t="n">
        <v>3</v>
      </c>
      <c r="F9" s="107" t="n">
        <v>4</v>
      </c>
      <c r="G9" s="107" t="n">
        <v>3</v>
      </c>
      <c r="H9" s="110"/>
    </row>
    <row r="10" customFormat="false" ht="15.75" hidden="false" customHeight="true" outlineLevel="0" collapsed="false">
      <c r="A10" s="106" t="n">
        <v>46230</v>
      </c>
      <c r="B10" s="109" t="s">
        <v>133</v>
      </c>
      <c r="C10" s="107" t="n">
        <v>60</v>
      </c>
      <c r="D10" s="107" t="n">
        <v>7</v>
      </c>
      <c r="E10" s="107" t="n">
        <v>2</v>
      </c>
      <c r="F10" s="107" t="n">
        <v>2</v>
      </c>
      <c r="G10" s="107" t="n">
        <v>4</v>
      </c>
      <c r="H10" s="111" t="s">
        <v>305</v>
      </c>
    </row>
    <row r="11" customFormat="false" ht="15.75" hidden="false" customHeight="true" outlineLevel="0" collapsed="false">
      <c r="A11" s="106" t="n">
        <v>46230</v>
      </c>
      <c r="B11" s="109" t="s">
        <v>304</v>
      </c>
      <c r="C11" s="107" t="n">
        <v>60</v>
      </c>
      <c r="D11" s="107" t="n">
        <v>8</v>
      </c>
      <c r="E11" s="107" t="n">
        <v>4</v>
      </c>
      <c r="F11" s="107" t="n">
        <v>4</v>
      </c>
      <c r="G11" s="107" t="n">
        <v>3</v>
      </c>
      <c r="H11" s="111" t="s">
        <v>306</v>
      </c>
    </row>
    <row r="12" customFormat="false" ht="15.75" hidden="false" customHeight="true" outlineLevel="0" collapsed="false">
      <c r="A12" s="106" t="n">
        <v>46231</v>
      </c>
      <c r="B12" s="109" t="s">
        <v>133</v>
      </c>
      <c r="C12" s="107" t="n">
        <v>60</v>
      </c>
      <c r="D12" s="107" t="n">
        <v>6</v>
      </c>
      <c r="E12" s="107" t="n">
        <v>4</v>
      </c>
      <c r="F12" s="107" t="n">
        <v>4</v>
      </c>
      <c r="G12" s="107" t="n">
        <v>3</v>
      </c>
      <c r="H12" s="110"/>
    </row>
    <row r="13" customFormat="false" ht="15.75" hidden="false" customHeight="true" outlineLevel="0" collapsed="false">
      <c r="A13" s="106" t="n">
        <v>46232</v>
      </c>
      <c r="B13" s="109" t="s">
        <v>133</v>
      </c>
      <c r="C13" s="107" t="n">
        <v>60</v>
      </c>
      <c r="D13" s="107" t="n">
        <v>5</v>
      </c>
      <c r="E13" s="107" t="n">
        <v>4</v>
      </c>
      <c r="F13" s="107" t="n">
        <v>4</v>
      </c>
      <c r="G13" s="107" t="n">
        <v>3</v>
      </c>
      <c r="H13" s="110"/>
    </row>
    <row r="14" customFormat="false" ht="15.75" hidden="false" customHeight="true" outlineLevel="0" collapsed="false">
      <c r="A14" s="106" t="n">
        <v>46233</v>
      </c>
      <c r="B14" s="109" t="s">
        <v>133</v>
      </c>
      <c r="C14" s="107" t="n">
        <v>120</v>
      </c>
      <c r="D14" s="107" t="n">
        <v>7</v>
      </c>
      <c r="E14" s="107" t="n">
        <v>3</v>
      </c>
      <c r="F14" s="107" t="n">
        <v>4</v>
      </c>
      <c r="G14" s="107" t="n">
        <v>3</v>
      </c>
      <c r="H14" s="110"/>
    </row>
    <row r="15" customFormat="false" ht="15.75" hidden="false" customHeight="true" outlineLevel="0" collapsed="false">
      <c r="A15" s="106" t="n">
        <v>46234</v>
      </c>
      <c r="B15" s="109" t="s">
        <v>133</v>
      </c>
      <c r="C15" s="107" t="n">
        <v>60</v>
      </c>
      <c r="D15" s="107" t="n">
        <v>7</v>
      </c>
      <c r="E15" s="107" t="n">
        <v>2</v>
      </c>
      <c r="F15" s="107" t="n">
        <v>3</v>
      </c>
      <c r="G15" s="107" t="n">
        <v>4</v>
      </c>
      <c r="H15" s="111" t="s">
        <v>140</v>
      </c>
    </row>
    <row r="16" customFormat="false" ht="15.75" hidden="false" customHeight="true" outlineLevel="0" collapsed="false">
      <c r="A16" s="106" t="n">
        <v>46235</v>
      </c>
      <c r="B16" s="109" t="s">
        <v>133</v>
      </c>
      <c r="C16" s="107" t="n">
        <v>120</v>
      </c>
      <c r="D16" s="107" t="n">
        <v>6</v>
      </c>
      <c r="E16" s="107" t="n">
        <v>4</v>
      </c>
      <c r="F16" s="107" t="n">
        <v>4</v>
      </c>
      <c r="G16" s="107" t="n">
        <v>3</v>
      </c>
      <c r="H16" s="110"/>
    </row>
    <row r="17" customFormat="false" ht="15.75" hidden="false" customHeight="true" outlineLevel="0" collapsed="false">
      <c r="A17" s="106" t="n">
        <v>46236</v>
      </c>
      <c r="B17" s="109" t="s">
        <v>133</v>
      </c>
      <c r="C17" s="107" t="n">
        <v>60</v>
      </c>
      <c r="D17" s="107" t="n">
        <v>7</v>
      </c>
      <c r="E17" s="107" t="n">
        <v>4</v>
      </c>
      <c r="F17" s="107" t="n">
        <v>4</v>
      </c>
      <c r="G17" s="107" t="n">
        <v>3</v>
      </c>
      <c r="H17" s="110"/>
    </row>
    <row r="18" customFormat="false" ht="15.75" hidden="false" customHeight="true" outlineLevel="0" collapsed="false">
      <c r="A18" s="106" t="n">
        <v>46238</v>
      </c>
      <c r="B18" s="109" t="s">
        <v>133</v>
      </c>
      <c r="C18" s="107" t="n">
        <v>120</v>
      </c>
      <c r="D18" s="107" t="n">
        <v>7</v>
      </c>
      <c r="E18" s="107" t="n">
        <v>2</v>
      </c>
      <c r="F18" s="107" t="n">
        <v>2</v>
      </c>
      <c r="G18" s="107" t="n">
        <v>4</v>
      </c>
      <c r="H18" s="111" t="s">
        <v>141</v>
      </c>
    </row>
    <row r="19" customFormat="false" ht="15.75" hidden="false" customHeight="true" outlineLevel="0" collapsed="false">
      <c r="A19" s="106" t="n">
        <v>46245</v>
      </c>
      <c r="B19" s="109" t="s">
        <v>133</v>
      </c>
      <c r="C19" s="107" t="n">
        <v>60</v>
      </c>
      <c r="D19" s="107" t="n">
        <v>3</v>
      </c>
      <c r="E19" s="107" t="n">
        <v>4</v>
      </c>
      <c r="F19" s="107" t="n">
        <v>4</v>
      </c>
      <c r="G19" s="107" t="n">
        <v>2</v>
      </c>
      <c r="H19" s="110"/>
    </row>
    <row r="20" customFormat="false" ht="15.75" hidden="false" customHeight="true" outlineLevel="0" collapsed="false">
      <c r="A20" s="106" t="n">
        <v>46246</v>
      </c>
      <c r="B20" s="109" t="s">
        <v>142</v>
      </c>
      <c r="C20" s="107" t="n">
        <v>0</v>
      </c>
      <c r="D20" s="107" t="n">
        <v>1</v>
      </c>
      <c r="E20" s="107" t="n">
        <v>1</v>
      </c>
      <c r="F20" s="107" t="n">
        <v>1</v>
      </c>
      <c r="G20" s="107" t="n">
        <v>1</v>
      </c>
      <c r="H20" s="110"/>
    </row>
    <row r="21" customFormat="false" ht="15.75" hidden="false" customHeight="true" outlineLevel="0" collapsed="false">
      <c r="A21" s="106" t="n">
        <v>46247</v>
      </c>
      <c r="B21" s="109" t="s">
        <v>142</v>
      </c>
      <c r="C21" s="107" t="n">
        <v>0</v>
      </c>
      <c r="D21" s="107" t="n">
        <v>1</v>
      </c>
      <c r="E21" s="107" t="n">
        <v>1</v>
      </c>
      <c r="F21" s="107" t="n">
        <v>1</v>
      </c>
      <c r="G21" s="107" t="n">
        <v>1</v>
      </c>
      <c r="H21" s="110"/>
    </row>
    <row r="22" customFormat="false" ht="15.75" hidden="false" customHeight="true" outlineLevel="0" collapsed="false">
      <c r="A22" s="106" t="n">
        <v>46248</v>
      </c>
      <c r="B22" s="109" t="s">
        <v>133</v>
      </c>
      <c r="C22" s="107" t="n">
        <v>180</v>
      </c>
      <c r="D22" s="107" t="n">
        <v>6</v>
      </c>
      <c r="E22" s="107" t="n">
        <v>4</v>
      </c>
      <c r="F22" s="107" t="n">
        <v>4</v>
      </c>
      <c r="G22" s="107" t="n">
        <v>3</v>
      </c>
      <c r="H22" s="110"/>
    </row>
    <row r="23" customFormat="false" ht="15.75" hidden="false" customHeight="true" outlineLevel="0" collapsed="false">
      <c r="A23" s="106" t="n">
        <v>46249</v>
      </c>
      <c r="B23" s="109" t="s">
        <v>133</v>
      </c>
      <c r="C23" s="107" t="n">
        <v>60</v>
      </c>
      <c r="D23" s="107" t="n">
        <v>5</v>
      </c>
      <c r="E23" s="107" t="n">
        <v>4</v>
      </c>
      <c r="F23" s="107" t="n">
        <v>4</v>
      </c>
      <c r="G23" s="107" t="n">
        <v>3</v>
      </c>
      <c r="H23" s="110"/>
    </row>
    <row r="24" customFormat="false" ht="15.75" hidden="false" customHeight="true" outlineLevel="0" collapsed="false">
      <c r="A24" s="106" t="n">
        <v>46250</v>
      </c>
      <c r="B24" s="109" t="s">
        <v>133</v>
      </c>
      <c r="C24" s="107" t="n">
        <v>180</v>
      </c>
      <c r="D24" s="107" t="n">
        <v>7</v>
      </c>
      <c r="E24" s="107" t="n">
        <v>4</v>
      </c>
      <c r="F24" s="107" t="n">
        <v>4</v>
      </c>
      <c r="G24" s="107" t="n">
        <v>3</v>
      </c>
      <c r="H24" s="110"/>
    </row>
    <row r="25" customFormat="false" ht="15.75" hidden="false" customHeight="true" outlineLevel="0" collapsed="false">
      <c r="A25" s="106" t="n">
        <v>46251</v>
      </c>
      <c r="B25" s="109" t="s">
        <v>133</v>
      </c>
      <c r="C25" s="107" t="n">
        <v>120</v>
      </c>
      <c r="D25" s="107" t="n">
        <v>7</v>
      </c>
      <c r="E25" s="107" t="n">
        <v>4</v>
      </c>
      <c r="F25" s="107" t="n">
        <v>4</v>
      </c>
      <c r="G25" s="107" t="n">
        <v>3</v>
      </c>
      <c r="H25" s="110"/>
    </row>
    <row r="26" customFormat="false" ht="15.75" hidden="false" customHeight="true" outlineLevel="0" collapsed="false">
      <c r="A26" s="106" t="n">
        <v>46252</v>
      </c>
      <c r="B26" s="109" t="s">
        <v>133</v>
      </c>
      <c r="C26" s="107" t="n">
        <v>90</v>
      </c>
      <c r="D26" s="107" t="n">
        <v>7</v>
      </c>
      <c r="E26" s="107" t="n">
        <v>3</v>
      </c>
      <c r="F26" s="107" t="n">
        <v>4</v>
      </c>
      <c r="G26" s="107" t="n">
        <v>4</v>
      </c>
      <c r="H26" s="110"/>
    </row>
    <row r="27" customFormat="false" ht="15.75" hidden="false" customHeight="true" outlineLevel="0" collapsed="false">
      <c r="A27" s="106" t="n">
        <v>46254</v>
      </c>
      <c r="B27" s="109" t="s">
        <v>133</v>
      </c>
      <c r="C27" s="107" t="n">
        <v>120</v>
      </c>
      <c r="D27" s="107" t="n">
        <v>7</v>
      </c>
      <c r="E27" s="107" t="n">
        <v>4</v>
      </c>
      <c r="F27" s="107" t="n">
        <v>3</v>
      </c>
      <c r="G27" s="107" t="n">
        <v>4</v>
      </c>
      <c r="H27" s="111" t="s">
        <v>143</v>
      </c>
    </row>
    <row r="28" customFormat="false" ht="15.75" hidden="false" customHeight="true" outlineLevel="0" collapsed="false">
      <c r="A28" s="106" t="n">
        <v>46256</v>
      </c>
      <c r="B28" s="109" t="s">
        <v>133</v>
      </c>
      <c r="C28" s="107" t="n">
        <v>60</v>
      </c>
      <c r="D28" s="107" t="n">
        <v>10</v>
      </c>
      <c r="E28" s="107" t="n">
        <v>3</v>
      </c>
      <c r="F28" s="107" t="n">
        <v>3</v>
      </c>
      <c r="G28" s="107" t="n">
        <v>3</v>
      </c>
      <c r="H28" s="111" t="s">
        <v>307</v>
      </c>
    </row>
    <row r="29" customFormat="false" ht="15.75" hidden="false" customHeight="true" outlineLevel="0" collapsed="false">
      <c r="A29" s="106" t="n">
        <v>46257</v>
      </c>
      <c r="B29" s="109" t="s">
        <v>142</v>
      </c>
      <c r="C29" s="107" t="n">
        <v>0</v>
      </c>
      <c r="D29" s="107" t="n">
        <v>1</v>
      </c>
      <c r="E29" s="107" t="n">
        <v>1</v>
      </c>
      <c r="F29" s="107" t="n">
        <v>1</v>
      </c>
      <c r="G29" s="107" t="n">
        <v>1</v>
      </c>
      <c r="H29" s="110"/>
    </row>
    <row r="30" customFormat="false" ht="15.75" hidden="false" customHeight="true" outlineLevel="0" collapsed="false">
      <c r="A30" s="106" t="n">
        <v>46258</v>
      </c>
      <c r="B30" s="109" t="s">
        <v>142</v>
      </c>
      <c r="C30" s="107" t="n">
        <v>0</v>
      </c>
      <c r="D30" s="107" t="n">
        <v>1</v>
      </c>
      <c r="E30" s="107" t="n">
        <v>1</v>
      </c>
      <c r="F30" s="107" t="n">
        <v>1</v>
      </c>
      <c r="G30" s="107" t="n">
        <v>1</v>
      </c>
      <c r="H30" s="110"/>
    </row>
    <row r="31" customFormat="false" ht="15.75" hidden="false" customHeight="true" outlineLevel="0" collapsed="false">
      <c r="A31" s="106" t="n">
        <v>46259</v>
      </c>
      <c r="B31" s="109" t="s">
        <v>133</v>
      </c>
      <c r="C31" s="107" t="n">
        <v>180</v>
      </c>
      <c r="D31" s="107" t="n">
        <v>7</v>
      </c>
      <c r="E31" s="107" t="n">
        <v>4</v>
      </c>
      <c r="F31" s="107" t="n">
        <v>3</v>
      </c>
      <c r="G31" s="107" t="n">
        <v>4</v>
      </c>
      <c r="H31" s="110"/>
    </row>
    <row r="32" customFormat="false" ht="15.75" hidden="false" customHeight="true" outlineLevel="0" collapsed="false">
      <c r="A32" s="106" t="n">
        <v>46260</v>
      </c>
      <c r="B32" s="109" t="s">
        <v>133</v>
      </c>
      <c r="C32" s="107" t="n">
        <v>120</v>
      </c>
      <c r="D32" s="107" t="n">
        <v>6</v>
      </c>
      <c r="E32" s="107" t="n">
        <v>4</v>
      </c>
      <c r="F32" s="107" t="n">
        <v>3</v>
      </c>
      <c r="G32" s="107" t="n">
        <v>3</v>
      </c>
      <c r="H32" s="110"/>
    </row>
    <row r="33" customFormat="false" ht="15.75" hidden="false" customHeight="true" outlineLevel="0" collapsed="false">
      <c r="A33" s="106" t="n">
        <v>46261</v>
      </c>
      <c r="B33" s="109" t="s">
        <v>133</v>
      </c>
      <c r="C33" s="107" t="n">
        <v>120</v>
      </c>
      <c r="D33" s="107" t="n">
        <v>7</v>
      </c>
      <c r="E33" s="107" t="n">
        <v>4</v>
      </c>
      <c r="F33" s="107" t="n">
        <v>3</v>
      </c>
      <c r="G33" s="107" t="n">
        <v>3</v>
      </c>
      <c r="H33" s="110"/>
    </row>
    <row r="34" customFormat="false" ht="15.75" hidden="false" customHeight="true" outlineLevel="0" collapsed="false">
      <c r="A34" s="106" t="n">
        <v>46262</v>
      </c>
      <c r="B34" s="109" t="s">
        <v>133</v>
      </c>
      <c r="C34" s="107" t="n">
        <v>60</v>
      </c>
      <c r="D34" s="107" t="n">
        <v>5</v>
      </c>
      <c r="E34" s="107" t="n">
        <v>4</v>
      </c>
      <c r="F34" s="107" t="n">
        <v>4</v>
      </c>
      <c r="G34" s="107" t="n">
        <v>2</v>
      </c>
      <c r="H34" s="110"/>
    </row>
    <row r="35" customFormat="false" ht="15.75" hidden="false" customHeight="true" outlineLevel="0" collapsed="false">
      <c r="A35" s="106" t="n">
        <v>46263</v>
      </c>
      <c r="B35" s="109" t="s">
        <v>133</v>
      </c>
      <c r="C35" s="107" t="n">
        <v>60</v>
      </c>
      <c r="D35" s="107" t="n">
        <v>5</v>
      </c>
      <c r="E35" s="107" t="n">
        <v>3</v>
      </c>
      <c r="F35" s="107" t="n">
        <v>3</v>
      </c>
      <c r="G35" s="107" t="n">
        <v>3</v>
      </c>
      <c r="H35" s="110"/>
    </row>
    <row r="36" customFormat="false" ht="15.75" hidden="false" customHeight="true" outlineLevel="0" collapsed="false">
      <c r="A36" s="106" t="n">
        <v>46264</v>
      </c>
      <c r="B36" s="109" t="s">
        <v>133</v>
      </c>
      <c r="C36" s="107" t="n">
        <v>60</v>
      </c>
      <c r="D36" s="107" t="n">
        <v>7</v>
      </c>
      <c r="E36" s="107" t="n">
        <v>4</v>
      </c>
      <c r="F36" s="107" t="n">
        <v>4</v>
      </c>
      <c r="G36" s="107" t="n">
        <v>3</v>
      </c>
      <c r="H36" s="110"/>
    </row>
    <row r="37" customFormat="false" ht="15.75" hidden="false" customHeight="true" outlineLevel="0" collapsed="false">
      <c r="A37" s="106" t="n">
        <v>46265</v>
      </c>
      <c r="B37" s="109" t="s">
        <v>133</v>
      </c>
      <c r="C37" s="107" t="n">
        <v>60</v>
      </c>
      <c r="D37" s="107" t="n">
        <v>6</v>
      </c>
      <c r="E37" s="107" t="n">
        <v>4</v>
      </c>
      <c r="F37" s="107" t="n">
        <v>4</v>
      </c>
      <c r="G37" s="107" t="n">
        <v>3</v>
      </c>
      <c r="H37" s="110"/>
    </row>
    <row r="38" customFormat="false" ht="15.75" hidden="false" customHeight="true" outlineLevel="0" collapsed="false">
      <c r="A38" s="106" t="n">
        <v>46266</v>
      </c>
      <c r="B38" s="109" t="s">
        <v>133</v>
      </c>
      <c r="C38" s="107" t="n">
        <v>60</v>
      </c>
      <c r="D38" s="107" t="n">
        <v>5</v>
      </c>
      <c r="E38" s="107" t="n">
        <v>3</v>
      </c>
      <c r="F38" s="107" t="n">
        <v>4</v>
      </c>
      <c r="G38" s="107" t="n">
        <v>3</v>
      </c>
      <c r="H38" s="110"/>
    </row>
    <row r="39" customFormat="false" ht="15.75" hidden="false" customHeight="true" outlineLevel="0" collapsed="false">
      <c r="A39" s="106" t="n">
        <v>46267</v>
      </c>
      <c r="B39" s="109" t="s">
        <v>133</v>
      </c>
      <c r="C39" s="107" t="n">
        <v>60</v>
      </c>
      <c r="D39" s="107" t="n">
        <v>5</v>
      </c>
      <c r="E39" s="107" t="n">
        <v>4</v>
      </c>
      <c r="F39" s="107" t="n">
        <v>4</v>
      </c>
      <c r="G39" s="107" t="n">
        <v>3</v>
      </c>
      <c r="H39" s="110"/>
    </row>
    <row r="40" customFormat="false" ht="15.75" hidden="false" customHeight="true" outlineLevel="0" collapsed="false">
      <c r="A40" s="106" t="n">
        <v>46268</v>
      </c>
      <c r="B40" s="109" t="s">
        <v>133</v>
      </c>
      <c r="C40" s="107" t="n">
        <v>60</v>
      </c>
      <c r="D40" s="107" t="n">
        <v>5</v>
      </c>
      <c r="E40" s="107" t="n">
        <v>3</v>
      </c>
      <c r="F40" s="107" t="n">
        <v>3</v>
      </c>
      <c r="G40" s="107" t="n">
        <v>3</v>
      </c>
      <c r="H40" s="110"/>
    </row>
    <row r="41" customFormat="false" ht="15.75" hidden="false" customHeight="true" outlineLevel="0" collapsed="false">
      <c r="A41" s="106" t="n">
        <v>46268</v>
      </c>
      <c r="B41" s="109" t="s">
        <v>304</v>
      </c>
      <c r="C41" s="107" t="n">
        <v>60</v>
      </c>
      <c r="D41" s="107" t="n">
        <v>8</v>
      </c>
      <c r="E41" s="107" t="n">
        <v>4</v>
      </c>
      <c r="F41" s="107" t="n">
        <v>4</v>
      </c>
      <c r="G41" s="107" t="n">
        <v>4</v>
      </c>
      <c r="H41" s="110"/>
    </row>
    <row r="42" customFormat="false" ht="15.75" hidden="false" customHeight="true" outlineLevel="0" collapsed="false">
      <c r="A42" s="106" t="n">
        <v>46269</v>
      </c>
      <c r="B42" s="109" t="s">
        <v>133</v>
      </c>
      <c r="C42" s="107" t="n">
        <v>120</v>
      </c>
      <c r="D42" s="107" t="n">
        <v>8</v>
      </c>
      <c r="E42" s="107" t="n">
        <v>4</v>
      </c>
      <c r="F42" s="107" t="n">
        <v>3</v>
      </c>
      <c r="G42" s="107" t="n">
        <v>3</v>
      </c>
      <c r="H42" s="110"/>
    </row>
    <row r="43" customFormat="false" ht="15.75" hidden="false" customHeight="true" outlineLevel="0" collapsed="false">
      <c r="A43" s="106" t="n">
        <v>46270</v>
      </c>
      <c r="B43" s="109" t="s">
        <v>133</v>
      </c>
      <c r="C43" s="107" t="n">
        <v>120</v>
      </c>
      <c r="D43" s="107" t="n">
        <v>6</v>
      </c>
      <c r="E43" s="107" t="n">
        <v>3</v>
      </c>
      <c r="F43" s="107" t="n">
        <v>2</v>
      </c>
      <c r="G43" s="107" t="n">
        <v>3</v>
      </c>
      <c r="H43" s="110"/>
    </row>
    <row r="44" customFormat="false" ht="15.75" hidden="false" customHeight="true" outlineLevel="0" collapsed="false">
      <c r="A44" s="106" t="n">
        <v>46271</v>
      </c>
      <c r="B44" s="109" t="s">
        <v>133</v>
      </c>
      <c r="C44" s="107" t="n">
        <v>60</v>
      </c>
      <c r="D44" s="107" t="n">
        <v>5</v>
      </c>
      <c r="E44" s="107" t="n">
        <v>3</v>
      </c>
      <c r="F44" s="107" t="n">
        <v>2</v>
      </c>
      <c r="G44" s="107" t="n">
        <v>4</v>
      </c>
      <c r="H44" s="110"/>
    </row>
    <row r="45" customFormat="false" ht="15.75" hidden="false" customHeight="true" outlineLevel="0" collapsed="false">
      <c r="A45" s="106" t="n">
        <v>46272</v>
      </c>
      <c r="B45" s="109" t="s">
        <v>133</v>
      </c>
      <c r="C45" s="107" t="n">
        <v>120</v>
      </c>
      <c r="D45" s="107" t="n">
        <v>7</v>
      </c>
      <c r="E45" s="107" t="n">
        <v>3</v>
      </c>
      <c r="F45" s="107" t="n">
        <v>1</v>
      </c>
      <c r="G45" s="107" t="n">
        <v>5</v>
      </c>
      <c r="H45" s="111" t="s">
        <v>145</v>
      </c>
    </row>
    <row r="46" customFormat="false" ht="15.75" hidden="false" customHeight="true" outlineLevel="0" collapsed="false">
      <c r="A46" s="106" t="n">
        <v>46273</v>
      </c>
      <c r="B46" s="109" t="s">
        <v>133</v>
      </c>
      <c r="C46" s="107" t="n">
        <v>120</v>
      </c>
      <c r="D46" s="107" t="n">
        <v>8</v>
      </c>
      <c r="E46" s="107" t="n">
        <v>4</v>
      </c>
      <c r="F46" s="107" t="n">
        <v>3</v>
      </c>
      <c r="G46" s="107" t="n">
        <v>4</v>
      </c>
      <c r="H46" s="110"/>
    </row>
    <row r="47" customFormat="false" ht="15.75" hidden="false" customHeight="true" outlineLevel="0" collapsed="false">
      <c r="A47" s="106" t="n">
        <v>46274</v>
      </c>
      <c r="B47" s="109" t="s">
        <v>142</v>
      </c>
      <c r="C47" s="107" t="n">
        <v>0</v>
      </c>
      <c r="D47" s="107" t="n">
        <v>1</v>
      </c>
      <c r="E47" s="107" t="n">
        <v>1</v>
      </c>
      <c r="F47" s="107" t="n">
        <v>1</v>
      </c>
      <c r="G47" s="107" t="n">
        <v>1</v>
      </c>
      <c r="H47" s="110"/>
    </row>
    <row r="48" customFormat="false" ht="15.75" hidden="false" customHeight="true" outlineLevel="0" collapsed="false">
      <c r="A48" s="106" t="n">
        <v>46275</v>
      </c>
      <c r="B48" s="109" t="s">
        <v>133</v>
      </c>
      <c r="C48" s="107" t="n">
        <v>180</v>
      </c>
      <c r="D48" s="107" t="n">
        <v>7</v>
      </c>
      <c r="E48" s="107" t="n">
        <v>2</v>
      </c>
      <c r="F48" s="107" t="n">
        <v>2</v>
      </c>
      <c r="G48" s="107" t="n">
        <v>4</v>
      </c>
      <c r="H48" s="110"/>
    </row>
    <row r="49" customFormat="false" ht="15.75" hidden="false" customHeight="true" outlineLevel="0" collapsed="false">
      <c r="A49" s="106" t="n">
        <v>46275</v>
      </c>
      <c r="B49" s="109" t="s">
        <v>304</v>
      </c>
      <c r="C49" s="107" t="n">
        <v>40</v>
      </c>
      <c r="D49" s="107" t="n">
        <v>8</v>
      </c>
      <c r="E49" s="107" t="n">
        <v>4</v>
      </c>
      <c r="F49" s="107" t="n">
        <v>2</v>
      </c>
      <c r="G49" s="107" t="n">
        <v>4</v>
      </c>
      <c r="H49" s="110"/>
    </row>
    <row r="50" customFormat="false" ht="15.75" hidden="false" customHeight="true" outlineLevel="0" collapsed="false">
      <c r="A50" s="106" t="n">
        <v>46276</v>
      </c>
      <c r="B50" s="109" t="s">
        <v>133</v>
      </c>
      <c r="C50" s="107" t="n">
        <v>60</v>
      </c>
      <c r="D50" s="107" t="n">
        <v>6</v>
      </c>
      <c r="E50" s="107" t="n">
        <v>4</v>
      </c>
      <c r="F50" s="107" t="n">
        <v>3</v>
      </c>
      <c r="G50" s="107" t="n">
        <v>3</v>
      </c>
      <c r="H50" s="110"/>
    </row>
    <row r="51" customFormat="false" ht="15.75" hidden="false" customHeight="true" outlineLevel="0" collapsed="false">
      <c r="A51" s="106" t="n">
        <v>46277</v>
      </c>
      <c r="B51" s="109" t="s">
        <v>133</v>
      </c>
      <c r="C51" s="107" t="n">
        <v>180</v>
      </c>
      <c r="D51" s="107" t="n">
        <v>6</v>
      </c>
      <c r="E51" s="107" t="n">
        <v>2</v>
      </c>
      <c r="F51" s="107" t="n">
        <v>3</v>
      </c>
      <c r="G51" s="107" t="n">
        <v>4</v>
      </c>
      <c r="H51" s="110"/>
    </row>
    <row r="52" customFormat="false" ht="15.75" hidden="false" customHeight="true" outlineLevel="0" collapsed="false">
      <c r="A52" s="106" t="n">
        <v>46278</v>
      </c>
      <c r="B52" s="109" t="s">
        <v>142</v>
      </c>
      <c r="C52" s="107" t="n">
        <v>0</v>
      </c>
      <c r="D52" s="107" t="n">
        <v>1</v>
      </c>
      <c r="E52" s="107" t="n">
        <v>1</v>
      </c>
      <c r="F52" s="107" t="n">
        <v>1</v>
      </c>
      <c r="G52" s="107" t="n">
        <v>1</v>
      </c>
      <c r="H52" s="110"/>
    </row>
    <row r="53" customFormat="false" ht="15.75" hidden="false" customHeight="true" outlineLevel="0" collapsed="false">
      <c r="A53" s="106" t="n">
        <v>46279</v>
      </c>
      <c r="B53" s="109" t="s">
        <v>133</v>
      </c>
      <c r="C53" s="107" t="n">
        <v>180</v>
      </c>
      <c r="D53" s="107" t="n">
        <v>7</v>
      </c>
      <c r="E53" s="107" t="n">
        <v>3</v>
      </c>
      <c r="F53" s="107" t="n">
        <v>3</v>
      </c>
      <c r="G53" s="107" t="n">
        <v>4</v>
      </c>
      <c r="H53" s="110"/>
    </row>
    <row r="54" customFormat="false" ht="15.75" hidden="false" customHeight="true" outlineLevel="0" collapsed="false">
      <c r="A54" s="106" t="n">
        <v>46280</v>
      </c>
      <c r="B54" s="109" t="s">
        <v>133</v>
      </c>
      <c r="C54" s="107" t="n">
        <v>180</v>
      </c>
      <c r="D54" s="107" t="n">
        <v>7</v>
      </c>
      <c r="E54" s="107" t="n">
        <v>4</v>
      </c>
      <c r="F54" s="107" t="n">
        <v>2</v>
      </c>
      <c r="G54" s="107" t="n">
        <v>4</v>
      </c>
      <c r="H54" s="110"/>
    </row>
    <row r="55" customFormat="false" ht="15.75" hidden="false" customHeight="true" outlineLevel="0" collapsed="false">
      <c r="A55" s="106" t="n">
        <v>46281</v>
      </c>
      <c r="B55" s="109" t="s">
        <v>133</v>
      </c>
      <c r="C55" s="107" t="n">
        <v>180</v>
      </c>
      <c r="D55" s="107" t="n">
        <v>8</v>
      </c>
      <c r="E55" s="107" t="n">
        <v>4</v>
      </c>
      <c r="F55" s="107" t="n">
        <v>4</v>
      </c>
      <c r="G55" s="107" t="n">
        <v>3</v>
      </c>
      <c r="H55" s="110"/>
    </row>
    <row r="56" customFormat="false" ht="15.75" hidden="false" customHeight="true" outlineLevel="0" collapsed="false">
      <c r="A56" s="106" t="n">
        <v>46282</v>
      </c>
      <c r="B56" s="109" t="s">
        <v>133</v>
      </c>
      <c r="C56" s="107" t="n">
        <v>180</v>
      </c>
      <c r="D56" s="107" t="n">
        <v>7</v>
      </c>
      <c r="E56" s="107" t="n">
        <v>2</v>
      </c>
      <c r="F56" s="107" t="n">
        <v>2</v>
      </c>
      <c r="G56" s="107" t="n">
        <v>5</v>
      </c>
      <c r="H56" s="111" t="s">
        <v>146</v>
      </c>
    </row>
    <row r="57" customFormat="false" ht="15.75" hidden="false" customHeight="true" outlineLevel="0" collapsed="false">
      <c r="A57" s="106" t="n">
        <v>46283</v>
      </c>
      <c r="B57" s="109" t="s">
        <v>133</v>
      </c>
      <c r="C57" s="107" t="n">
        <v>60</v>
      </c>
      <c r="D57" s="107" t="n">
        <v>7</v>
      </c>
      <c r="E57" s="107" t="n">
        <v>4</v>
      </c>
      <c r="F57" s="107" t="n">
        <v>4</v>
      </c>
      <c r="G57" s="107" t="n">
        <v>3</v>
      </c>
      <c r="H57" s="110"/>
    </row>
    <row r="58" customFormat="false" ht="15.75" hidden="false" customHeight="true" outlineLevel="0" collapsed="false">
      <c r="A58" s="106" t="n">
        <v>46284</v>
      </c>
      <c r="B58" s="109" t="s">
        <v>133</v>
      </c>
      <c r="C58" s="107" t="n">
        <v>180</v>
      </c>
      <c r="D58" s="107" t="n">
        <v>7</v>
      </c>
      <c r="E58" s="107" t="n">
        <v>2</v>
      </c>
      <c r="F58" s="107" t="n">
        <v>2</v>
      </c>
      <c r="G58" s="107" t="n">
        <v>5</v>
      </c>
      <c r="H58" s="110"/>
    </row>
    <row r="59" customFormat="false" ht="15.75" hidden="false" customHeight="true" outlineLevel="0" collapsed="false">
      <c r="A59" s="106" t="n">
        <v>46285</v>
      </c>
      <c r="B59" s="109" t="s">
        <v>142</v>
      </c>
      <c r="C59" s="107" t="n">
        <v>0</v>
      </c>
      <c r="D59" s="107" t="n">
        <v>1</v>
      </c>
      <c r="E59" s="107" t="n">
        <v>1</v>
      </c>
      <c r="F59" s="107" t="n">
        <v>1</v>
      </c>
      <c r="G59" s="107" t="n">
        <v>1</v>
      </c>
      <c r="H59" s="110"/>
    </row>
    <row r="60" customFormat="false" ht="15.75" hidden="false" customHeight="true" outlineLevel="0" collapsed="false">
      <c r="A60" s="106" t="n">
        <v>46286</v>
      </c>
      <c r="B60" s="109" t="s">
        <v>133</v>
      </c>
      <c r="C60" s="107" t="n">
        <v>60</v>
      </c>
      <c r="D60" s="107" t="n">
        <v>8</v>
      </c>
      <c r="E60" s="107" t="n">
        <v>4</v>
      </c>
      <c r="F60" s="107" t="n">
        <v>3</v>
      </c>
      <c r="G60" s="107" t="n">
        <v>2</v>
      </c>
      <c r="H60" s="111" t="s">
        <v>147</v>
      </c>
    </row>
    <row r="61" customFormat="false" ht="15.75" hidden="false" customHeight="true" outlineLevel="0" collapsed="false">
      <c r="A61" s="106" t="n">
        <v>46287</v>
      </c>
      <c r="B61" s="109" t="s">
        <v>142</v>
      </c>
      <c r="C61" s="107" t="n">
        <v>0</v>
      </c>
      <c r="D61" s="107" t="n">
        <v>1</v>
      </c>
      <c r="E61" s="107" t="n">
        <v>1</v>
      </c>
      <c r="F61" s="107" t="n">
        <v>1</v>
      </c>
      <c r="G61" s="107" t="n">
        <v>1</v>
      </c>
      <c r="H61" s="110"/>
    </row>
    <row r="62" customFormat="false" ht="15.75" hidden="false" customHeight="true" outlineLevel="0" collapsed="false">
      <c r="A62" s="106" t="n">
        <v>46288</v>
      </c>
      <c r="B62" s="109" t="s">
        <v>133</v>
      </c>
      <c r="C62" s="107" t="n">
        <v>60</v>
      </c>
      <c r="D62" s="107" t="n">
        <v>4</v>
      </c>
      <c r="E62" s="107" t="n">
        <v>3</v>
      </c>
      <c r="F62" s="107" t="n">
        <v>3</v>
      </c>
      <c r="G62" s="107" t="n">
        <v>4</v>
      </c>
      <c r="H62" s="110"/>
    </row>
    <row r="63" customFormat="false" ht="15.75" hidden="false" customHeight="true" outlineLevel="0" collapsed="false">
      <c r="A63" s="106" t="n">
        <v>46289</v>
      </c>
      <c r="B63" s="109" t="s">
        <v>133</v>
      </c>
      <c r="C63" s="107" t="n">
        <v>60</v>
      </c>
      <c r="D63" s="107" t="n">
        <v>6</v>
      </c>
      <c r="E63" s="107" t="n">
        <v>1</v>
      </c>
      <c r="F63" s="107" t="n">
        <v>1</v>
      </c>
      <c r="G63" s="107" t="n">
        <v>5</v>
      </c>
      <c r="H63" s="111" t="s">
        <v>148</v>
      </c>
    </row>
    <row r="64" customFormat="false" ht="15.75" hidden="false" customHeight="true" outlineLevel="0" collapsed="false">
      <c r="A64" s="106" t="n">
        <v>46290</v>
      </c>
      <c r="B64" s="109" t="s">
        <v>133</v>
      </c>
      <c r="C64" s="107" t="n">
        <v>120</v>
      </c>
      <c r="D64" s="107" t="n">
        <v>7</v>
      </c>
      <c r="E64" s="107" t="n">
        <v>4</v>
      </c>
      <c r="F64" s="107" t="n">
        <v>4</v>
      </c>
      <c r="G64" s="107" t="n">
        <v>2</v>
      </c>
      <c r="H64" s="110"/>
    </row>
    <row r="65" customFormat="false" ht="15.75" hidden="false" customHeight="true" outlineLevel="0" collapsed="false">
      <c r="A65" s="106" t="n">
        <v>46291</v>
      </c>
      <c r="B65" s="109" t="s">
        <v>133</v>
      </c>
      <c r="C65" s="107" t="n">
        <v>120</v>
      </c>
      <c r="D65" s="107" t="n">
        <v>7</v>
      </c>
      <c r="E65" s="107" t="n">
        <v>3</v>
      </c>
      <c r="F65" s="107" t="n">
        <v>4</v>
      </c>
      <c r="G65" s="107" t="n">
        <v>3</v>
      </c>
      <c r="H65" s="110"/>
    </row>
    <row r="66" customFormat="false" ht="15.75" hidden="false" customHeight="true" outlineLevel="0" collapsed="false">
      <c r="A66" s="106" t="n">
        <v>46292</v>
      </c>
      <c r="B66" s="109" t="s">
        <v>142</v>
      </c>
      <c r="C66" s="107" t="n">
        <v>0</v>
      </c>
      <c r="D66" s="107" t="n">
        <v>1</v>
      </c>
      <c r="E66" s="107" t="n">
        <v>1</v>
      </c>
      <c r="F66" s="107" t="n">
        <v>1</v>
      </c>
      <c r="G66" s="107" t="n">
        <v>1</v>
      </c>
      <c r="H66" s="110"/>
    </row>
    <row r="67" customFormat="false" ht="15.75" hidden="false" customHeight="true" outlineLevel="0" collapsed="false">
      <c r="A67" s="106" t="n">
        <v>46293</v>
      </c>
      <c r="B67" s="109" t="s">
        <v>142</v>
      </c>
      <c r="C67" s="107" t="n">
        <v>0</v>
      </c>
      <c r="D67" s="107" t="n">
        <v>1</v>
      </c>
      <c r="E67" s="107" t="n">
        <v>1</v>
      </c>
      <c r="F67" s="107" t="n">
        <v>1</v>
      </c>
      <c r="G67" s="107" t="n">
        <v>1</v>
      </c>
      <c r="H67" s="110"/>
    </row>
    <row r="68" customFormat="false" ht="15.75" hidden="false" customHeight="true" outlineLevel="0" collapsed="false">
      <c r="A68" s="106" t="n">
        <v>46294</v>
      </c>
      <c r="B68" s="109" t="s">
        <v>133</v>
      </c>
      <c r="C68" s="107" t="n">
        <v>60</v>
      </c>
      <c r="D68" s="107" t="n">
        <v>6</v>
      </c>
      <c r="E68" s="107" t="n">
        <v>4</v>
      </c>
      <c r="F68" s="107" t="n">
        <v>4</v>
      </c>
      <c r="G68" s="107" t="n">
        <v>3</v>
      </c>
      <c r="H68" s="110"/>
    </row>
    <row r="69" customFormat="false" ht="15.75" hidden="false" customHeight="true" outlineLevel="0" collapsed="false">
      <c r="A69" s="106" t="n">
        <v>46295</v>
      </c>
      <c r="B69" s="109" t="s">
        <v>133</v>
      </c>
      <c r="C69" s="107" t="n">
        <v>180</v>
      </c>
      <c r="D69" s="107" t="n">
        <v>6</v>
      </c>
      <c r="E69" s="107" t="n">
        <v>4</v>
      </c>
      <c r="F69" s="107" t="n">
        <v>4</v>
      </c>
      <c r="G69" s="107" t="n">
        <v>3</v>
      </c>
      <c r="H69" s="110"/>
    </row>
    <row r="70" customFormat="false" ht="15.75" hidden="false" customHeight="true" outlineLevel="0" collapsed="false">
      <c r="A70" s="106" t="n">
        <v>46297</v>
      </c>
      <c r="B70" s="109" t="s">
        <v>142</v>
      </c>
      <c r="C70" s="107" t="n">
        <v>0</v>
      </c>
      <c r="D70" s="107" t="n">
        <v>1</v>
      </c>
      <c r="E70" s="107" t="n">
        <v>1</v>
      </c>
      <c r="F70" s="107" t="n">
        <v>1</v>
      </c>
      <c r="G70" s="107" t="n">
        <v>1</v>
      </c>
      <c r="H70" s="110"/>
    </row>
    <row r="71" customFormat="false" ht="15.75" hidden="false" customHeight="true" outlineLevel="0" collapsed="false">
      <c r="A71" s="106" t="n">
        <v>46299</v>
      </c>
      <c r="B71" s="109" t="s">
        <v>142</v>
      </c>
      <c r="C71" s="107" t="n">
        <v>0</v>
      </c>
      <c r="D71" s="107" t="n">
        <v>1</v>
      </c>
      <c r="E71" s="107" t="n">
        <v>1</v>
      </c>
      <c r="F71" s="107" t="n">
        <v>1</v>
      </c>
      <c r="G71" s="107" t="n">
        <v>1</v>
      </c>
      <c r="H71" s="11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13" min="6" style="0" width="8"/>
    <col collapsed="false" customWidth="true" hidden="false" outlineLevel="0" max="14" min="14" style="0" width="30"/>
  </cols>
  <sheetData>
    <row r="1" customFormat="false" ht="21.75" hidden="false" customHeight="true" outlineLevel="0" collapsed="false">
      <c r="A1" s="46" t="s">
        <v>308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customFormat="false" ht="7.5" hidden="false" customHeight="true" outlineLevel="0" collapsed="false"/>
    <row r="3" customFormat="false" ht="26.85" hidden="false" customHeight="false" outlineLevel="0" collapsed="false">
      <c r="A3" s="9" t="s">
        <v>118</v>
      </c>
      <c r="B3" s="9" t="s">
        <v>309</v>
      </c>
      <c r="C3" s="9" t="s">
        <v>310</v>
      </c>
      <c r="D3" s="9" t="s">
        <v>311</v>
      </c>
      <c r="E3" s="9" t="s">
        <v>312</v>
      </c>
      <c r="F3" s="9" t="s">
        <v>313</v>
      </c>
      <c r="G3" s="9" t="s">
        <v>314</v>
      </c>
      <c r="H3" s="9" t="s">
        <v>315</v>
      </c>
      <c r="I3" s="9" t="s">
        <v>316</v>
      </c>
      <c r="J3" s="9" t="s">
        <v>317</v>
      </c>
      <c r="K3" s="9" t="s">
        <v>318</v>
      </c>
      <c r="L3" s="9" t="s">
        <v>319</v>
      </c>
      <c r="M3" s="9" t="s">
        <v>320</v>
      </c>
      <c r="N3" s="9" t="s">
        <v>132</v>
      </c>
    </row>
    <row r="4" customFormat="false" ht="15.75" hidden="false" customHeight="true" outlineLevel="0" collapsed="false">
      <c r="A4" s="106" t="n">
        <v>46225</v>
      </c>
      <c r="B4" s="109" t="s">
        <v>134</v>
      </c>
      <c r="C4" s="107" t="n">
        <v>3</v>
      </c>
      <c r="D4" s="107" t="n">
        <v>1000</v>
      </c>
      <c r="E4" s="109" t="s">
        <v>134</v>
      </c>
      <c r="F4" s="107"/>
      <c r="G4" s="107"/>
      <c r="H4" s="107"/>
      <c r="I4" s="107" t="s">
        <v>168</v>
      </c>
      <c r="J4" s="107"/>
      <c r="K4" s="107" t="s">
        <v>168</v>
      </c>
      <c r="L4" s="107"/>
      <c r="M4" s="107" t="s">
        <v>168</v>
      </c>
      <c r="N4" s="107"/>
    </row>
    <row r="5" customFormat="false" ht="15.75" hidden="false" customHeight="true" outlineLevel="0" collapsed="false">
      <c r="A5" s="106" t="n">
        <v>46226</v>
      </c>
      <c r="B5" s="109" t="s">
        <v>135</v>
      </c>
      <c r="C5" s="107" t="n">
        <v>3</v>
      </c>
      <c r="D5" s="107" t="n">
        <v>1000</v>
      </c>
      <c r="E5" s="109" t="s">
        <v>134</v>
      </c>
      <c r="F5" s="107"/>
      <c r="G5" s="107" t="s">
        <v>168</v>
      </c>
      <c r="H5" s="107"/>
      <c r="I5" s="107" t="s">
        <v>168</v>
      </c>
      <c r="J5" s="107" t="s">
        <v>168</v>
      </c>
      <c r="K5" s="107" t="s">
        <v>168</v>
      </c>
      <c r="L5" s="107"/>
      <c r="M5" s="107" t="s">
        <v>168</v>
      </c>
      <c r="N5" s="107"/>
    </row>
    <row r="6" customFormat="false" ht="15.75" hidden="false" customHeight="true" outlineLevel="0" collapsed="false">
      <c r="A6" s="106" t="n">
        <v>46227</v>
      </c>
      <c r="B6" s="109" t="s">
        <v>134</v>
      </c>
      <c r="C6" s="107" t="n">
        <v>2</v>
      </c>
      <c r="D6" s="107" t="n">
        <v>1000</v>
      </c>
      <c r="E6" s="109" t="s">
        <v>134</v>
      </c>
      <c r="F6" s="107"/>
      <c r="G6" s="107"/>
      <c r="H6" s="107"/>
      <c r="I6" s="107" t="s">
        <v>168</v>
      </c>
      <c r="J6" s="107"/>
      <c r="K6" s="107" t="s">
        <v>168</v>
      </c>
      <c r="L6" s="107"/>
      <c r="M6" s="107"/>
      <c r="N6" s="107"/>
    </row>
    <row r="7" customFormat="false" ht="15.75" hidden="false" customHeight="true" outlineLevel="0" collapsed="false">
      <c r="A7" s="106" t="n">
        <v>46228</v>
      </c>
      <c r="B7" s="109" t="s">
        <v>135</v>
      </c>
      <c r="C7" s="107" t="n">
        <v>3</v>
      </c>
      <c r="D7" s="107" t="n">
        <v>1000</v>
      </c>
      <c r="E7" s="109" t="s">
        <v>134</v>
      </c>
      <c r="F7" s="107"/>
      <c r="G7" s="107" t="s">
        <v>168</v>
      </c>
      <c r="H7" s="107"/>
      <c r="I7" s="107"/>
      <c r="J7" s="107"/>
      <c r="K7" s="107" t="s">
        <v>168</v>
      </c>
      <c r="L7" s="107"/>
      <c r="M7" s="107" t="s">
        <v>168</v>
      </c>
      <c r="N7" s="107"/>
    </row>
    <row r="8" customFormat="false" ht="15.75" hidden="false" customHeight="true" outlineLevel="0" collapsed="false">
      <c r="A8" s="106" t="n">
        <v>46229</v>
      </c>
      <c r="B8" s="109" t="s">
        <v>134</v>
      </c>
      <c r="C8" s="107" t="n">
        <v>2</v>
      </c>
      <c r="D8" s="107" t="n">
        <v>1000</v>
      </c>
      <c r="E8" s="109" t="s">
        <v>134</v>
      </c>
      <c r="F8" s="107" t="s">
        <v>168</v>
      </c>
      <c r="G8" s="107"/>
      <c r="H8" s="107"/>
      <c r="I8" s="107" t="s">
        <v>168</v>
      </c>
      <c r="J8" s="107"/>
      <c r="K8" s="107" t="s">
        <v>168</v>
      </c>
      <c r="L8" s="107"/>
      <c r="M8" s="107" t="s">
        <v>168</v>
      </c>
      <c r="N8" s="107"/>
    </row>
    <row r="9" customFormat="false" ht="15.75" hidden="false" customHeight="true" outlineLevel="0" collapsed="false">
      <c r="A9" s="106" t="n">
        <v>46230</v>
      </c>
      <c r="B9" s="109" t="s">
        <v>134</v>
      </c>
      <c r="C9" s="107" t="n">
        <v>3</v>
      </c>
      <c r="D9" s="107" t="n">
        <v>1000</v>
      </c>
      <c r="E9" s="109" t="s">
        <v>134</v>
      </c>
      <c r="F9" s="107"/>
      <c r="G9" s="107"/>
      <c r="H9" s="107"/>
      <c r="I9" s="107"/>
      <c r="J9" s="107"/>
      <c r="K9" s="107" t="s">
        <v>168</v>
      </c>
      <c r="L9" s="107"/>
      <c r="M9" s="107" t="s">
        <v>168</v>
      </c>
      <c r="N9" s="107"/>
    </row>
    <row r="10" customFormat="false" ht="15.75" hidden="false" customHeight="true" outlineLevel="0" collapsed="false">
      <c r="A10" s="106" t="n">
        <v>46231</v>
      </c>
      <c r="B10" s="109" t="s">
        <v>134</v>
      </c>
      <c r="C10" s="107" t="n">
        <v>3</v>
      </c>
      <c r="D10" s="107" t="n">
        <v>1000</v>
      </c>
      <c r="E10" s="109" t="s">
        <v>134</v>
      </c>
      <c r="F10" s="107"/>
      <c r="G10" s="107" t="s">
        <v>168</v>
      </c>
      <c r="H10" s="107"/>
      <c r="I10" s="107"/>
      <c r="J10" s="107"/>
      <c r="K10" s="107" t="s">
        <v>168</v>
      </c>
      <c r="L10" s="107"/>
      <c r="M10" s="107" t="s">
        <v>168</v>
      </c>
      <c r="N10" s="107"/>
    </row>
    <row r="11" customFormat="false" ht="15.75" hidden="false" customHeight="true" outlineLevel="0" collapsed="false">
      <c r="A11" s="106" t="n">
        <v>46232</v>
      </c>
      <c r="B11" s="109" t="s">
        <v>134</v>
      </c>
      <c r="C11" s="107" t="n">
        <v>3</v>
      </c>
      <c r="D11" s="107" t="n">
        <v>1000</v>
      </c>
      <c r="E11" s="109" t="s">
        <v>134</v>
      </c>
      <c r="F11" s="107"/>
      <c r="G11" s="107" t="s">
        <v>168</v>
      </c>
      <c r="H11" s="107"/>
      <c r="I11" s="107"/>
      <c r="J11" s="107"/>
      <c r="K11" s="107" t="s">
        <v>168</v>
      </c>
      <c r="L11" s="107"/>
      <c r="M11" s="107" t="s">
        <v>168</v>
      </c>
      <c r="N11" s="107"/>
    </row>
    <row r="12" customFormat="false" ht="15.75" hidden="false" customHeight="true" outlineLevel="0" collapsed="false">
      <c r="A12" s="106" t="n">
        <v>46233</v>
      </c>
      <c r="B12" s="109" t="s">
        <v>134</v>
      </c>
      <c r="C12" s="107" t="n">
        <v>4</v>
      </c>
      <c r="D12" s="107" t="n">
        <v>1000</v>
      </c>
      <c r="E12" s="109" t="s">
        <v>135</v>
      </c>
      <c r="F12" s="107"/>
      <c r="G12" s="107" t="s">
        <v>168</v>
      </c>
      <c r="H12" s="107"/>
      <c r="I12" s="107"/>
      <c r="J12" s="107"/>
      <c r="K12" s="107" t="s">
        <v>168</v>
      </c>
      <c r="L12" s="107"/>
      <c r="M12" s="107"/>
      <c r="N12" s="107"/>
    </row>
    <row r="13" customFormat="false" ht="15.75" hidden="false" customHeight="true" outlineLevel="0" collapsed="false">
      <c r="A13" s="106" t="n">
        <v>46234</v>
      </c>
      <c r="B13" s="109" t="s">
        <v>135</v>
      </c>
      <c r="C13" s="107" t="n">
        <v>2</v>
      </c>
      <c r="D13" s="107" t="n">
        <v>1000</v>
      </c>
      <c r="E13" s="109" t="s">
        <v>134</v>
      </c>
      <c r="F13" s="107"/>
      <c r="G13" s="107" t="s">
        <v>168</v>
      </c>
      <c r="H13" s="107"/>
      <c r="I13" s="107"/>
      <c r="J13" s="107" t="s">
        <v>168</v>
      </c>
      <c r="K13" s="107" t="s">
        <v>168</v>
      </c>
      <c r="L13" s="107" t="s">
        <v>168</v>
      </c>
      <c r="M13" s="107"/>
      <c r="N13" s="107"/>
    </row>
    <row r="14" customFormat="false" ht="15.75" hidden="false" customHeight="true" outlineLevel="0" collapsed="false">
      <c r="A14" s="106" t="n">
        <v>46235</v>
      </c>
      <c r="B14" s="109" t="s">
        <v>134</v>
      </c>
      <c r="C14" s="107" t="n">
        <v>2</v>
      </c>
      <c r="D14" s="107" t="n">
        <v>1000</v>
      </c>
      <c r="E14" s="109" t="s">
        <v>134</v>
      </c>
      <c r="F14" s="107"/>
      <c r="G14" s="107" t="s">
        <v>168</v>
      </c>
      <c r="H14" s="107"/>
      <c r="I14" s="107"/>
      <c r="J14" s="107"/>
      <c r="K14" s="107" t="s">
        <v>168</v>
      </c>
      <c r="L14" s="107" t="s">
        <v>168</v>
      </c>
      <c r="M14" s="107" t="s">
        <v>168</v>
      </c>
      <c r="N14" s="107"/>
    </row>
    <row r="15" customFormat="false" ht="15.75" hidden="false" customHeight="true" outlineLevel="0" collapsed="false">
      <c r="A15" s="106" t="n">
        <v>46236</v>
      </c>
      <c r="B15" s="109" t="s">
        <v>134</v>
      </c>
      <c r="C15" s="107" t="n">
        <v>3</v>
      </c>
      <c r="D15" s="107" t="n">
        <v>1000</v>
      </c>
      <c r="E15" s="109" t="s">
        <v>134</v>
      </c>
      <c r="F15" s="107"/>
      <c r="G15" s="107" t="s">
        <v>168</v>
      </c>
      <c r="H15" s="107"/>
      <c r="I15" s="107"/>
      <c r="J15" s="107"/>
      <c r="K15" s="107" t="s">
        <v>168</v>
      </c>
      <c r="L15" s="107"/>
      <c r="M15" s="107" t="s">
        <v>168</v>
      </c>
      <c r="N15" s="107"/>
    </row>
    <row r="16" customFormat="false" ht="15.75" hidden="false" customHeight="true" outlineLevel="0" collapsed="false">
      <c r="A16" s="106" t="n">
        <v>46238</v>
      </c>
      <c r="B16" s="109" t="s">
        <v>134</v>
      </c>
      <c r="C16" s="107" t="n">
        <v>2</v>
      </c>
      <c r="D16" s="107" t="n">
        <v>1500</v>
      </c>
      <c r="E16" s="109" t="s">
        <v>135</v>
      </c>
      <c r="F16" s="107"/>
      <c r="G16" s="107" t="s">
        <v>168</v>
      </c>
      <c r="H16" s="107" t="s">
        <v>168</v>
      </c>
      <c r="I16" s="107" t="s">
        <v>168</v>
      </c>
      <c r="J16" s="107"/>
      <c r="K16" s="107" t="s">
        <v>168</v>
      </c>
      <c r="L16" s="107"/>
      <c r="M16" s="107" t="s">
        <v>168</v>
      </c>
      <c r="N16" s="107"/>
    </row>
    <row r="17" customFormat="false" ht="15.75" hidden="false" customHeight="true" outlineLevel="0" collapsed="false">
      <c r="A17" s="106" t="n">
        <v>46245</v>
      </c>
      <c r="B17" s="109" t="s">
        <v>134</v>
      </c>
      <c r="C17" s="107" t="n">
        <v>4</v>
      </c>
      <c r="D17" s="107" t="n">
        <v>1000</v>
      </c>
      <c r="E17" s="109" t="s">
        <v>135</v>
      </c>
      <c r="F17" s="107"/>
      <c r="G17" s="107" t="s">
        <v>168</v>
      </c>
      <c r="H17" s="107"/>
      <c r="I17" s="107"/>
      <c r="J17" s="107"/>
      <c r="K17" s="107" t="s">
        <v>168</v>
      </c>
      <c r="L17" s="107" t="s">
        <v>168</v>
      </c>
      <c r="M17" s="107" t="s">
        <v>168</v>
      </c>
      <c r="N17" s="107"/>
    </row>
    <row r="18" customFormat="false" ht="15.75" hidden="false" customHeight="true" outlineLevel="0" collapsed="false">
      <c r="A18" s="106" t="n">
        <v>46246</v>
      </c>
      <c r="B18" s="109" t="s">
        <v>135</v>
      </c>
      <c r="C18" s="107" t="n">
        <v>2</v>
      </c>
      <c r="D18" s="107" t="n">
        <v>1000</v>
      </c>
      <c r="E18" s="109" t="s">
        <v>135</v>
      </c>
      <c r="F18" s="107"/>
      <c r="G18" s="107"/>
      <c r="H18" s="107"/>
      <c r="I18" s="107" t="s">
        <v>168</v>
      </c>
      <c r="J18" s="107" t="s">
        <v>168</v>
      </c>
      <c r="K18" s="107"/>
      <c r="L18" s="107" t="s">
        <v>168</v>
      </c>
      <c r="M18" s="107" t="s">
        <v>168</v>
      </c>
      <c r="N18" s="107"/>
    </row>
    <row r="19" customFormat="false" ht="15.75" hidden="false" customHeight="true" outlineLevel="0" collapsed="false">
      <c r="A19" s="106" t="n">
        <v>46247</v>
      </c>
      <c r="B19" s="109" t="s">
        <v>135</v>
      </c>
      <c r="C19" s="107" t="n">
        <v>4</v>
      </c>
      <c r="D19" s="107" t="n">
        <v>500</v>
      </c>
      <c r="E19" s="109" t="s">
        <v>135</v>
      </c>
      <c r="F19" s="107"/>
      <c r="G19" s="107"/>
      <c r="H19" s="107"/>
      <c r="I19" s="107" t="s">
        <v>168</v>
      </c>
      <c r="J19" s="107"/>
      <c r="K19" s="107" t="s">
        <v>168</v>
      </c>
      <c r="L19" s="107"/>
      <c r="M19" s="107" t="s">
        <v>168</v>
      </c>
      <c r="N19" s="107"/>
    </row>
    <row r="20" customFormat="false" ht="15.75" hidden="false" customHeight="true" outlineLevel="0" collapsed="false">
      <c r="A20" s="106" t="n">
        <v>46248</v>
      </c>
      <c r="B20" s="109" t="s">
        <v>135</v>
      </c>
      <c r="C20" s="107" t="n">
        <v>2</v>
      </c>
      <c r="D20" s="107" t="n">
        <v>1000</v>
      </c>
      <c r="E20" s="109" t="s">
        <v>134</v>
      </c>
      <c r="F20" s="107"/>
      <c r="G20" s="107"/>
      <c r="H20" s="107"/>
      <c r="I20" s="107" t="s">
        <v>168</v>
      </c>
      <c r="J20" s="107" t="s">
        <v>168</v>
      </c>
      <c r="K20" s="107" t="s">
        <v>168</v>
      </c>
      <c r="L20" s="107" t="s">
        <v>168</v>
      </c>
      <c r="M20" s="107" t="s">
        <v>168</v>
      </c>
      <c r="N20" s="107"/>
    </row>
    <row r="21" customFormat="false" ht="15.75" hidden="false" customHeight="true" outlineLevel="0" collapsed="false">
      <c r="A21" s="106" t="n">
        <v>46249</v>
      </c>
      <c r="B21" s="109" t="s">
        <v>134</v>
      </c>
      <c r="C21" s="107" t="n">
        <v>3</v>
      </c>
      <c r="D21" s="107" t="n">
        <v>1000</v>
      </c>
      <c r="E21" s="109" t="s">
        <v>134</v>
      </c>
      <c r="F21" s="107"/>
      <c r="G21" s="107" t="s">
        <v>168</v>
      </c>
      <c r="H21" s="107"/>
      <c r="I21" s="107"/>
      <c r="J21" s="107" t="s">
        <v>168</v>
      </c>
      <c r="K21" s="107" t="s">
        <v>168</v>
      </c>
      <c r="L21" s="107" t="s">
        <v>168</v>
      </c>
      <c r="M21" s="107"/>
      <c r="N21" s="107"/>
    </row>
    <row r="22" customFormat="false" ht="15.75" hidden="false" customHeight="true" outlineLevel="0" collapsed="false">
      <c r="A22" s="106" t="n">
        <v>46250</v>
      </c>
      <c r="B22" s="109" t="s">
        <v>135</v>
      </c>
      <c r="C22" s="107" t="n">
        <v>4</v>
      </c>
      <c r="D22" s="107" t="n">
        <v>1000</v>
      </c>
      <c r="E22" s="109" t="s">
        <v>134</v>
      </c>
      <c r="F22" s="107"/>
      <c r="G22" s="107"/>
      <c r="H22" s="107"/>
      <c r="I22" s="107"/>
      <c r="J22" s="107"/>
      <c r="K22" s="107"/>
      <c r="L22" s="107"/>
      <c r="M22" s="107" t="s">
        <v>168</v>
      </c>
      <c r="N22" s="107"/>
    </row>
    <row r="23" customFormat="false" ht="15.75" hidden="false" customHeight="true" outlineLevel="0" collapsed="false">
      <c r="A23" s="106" t="n">
        <v>46251</v>
      </c>
      <c r="B23" s="109" t="s">
        <v>134</v>
      </c>
      <c r="C23" s="107" t="n">
        <v>2</v>
      </c>
      <c r="D23" s="107" t="n">
        <v>1000</v>
      </c>
      <c r="E23" s="109" t="s">
        <v>134</v>
      </c>
      <c r="F23" s="107"/>
      <c r="G23" s="107" t="s">
        <v>168</v>
      </c>
      <c r="H23" s="107"/>
      <c r="I23" s="107"/>
      <c r="J23" s="107" t="s">
        <v>168</v>
      </c>
      <c r="K23" s="107" t="s">
        <v>168</v>
      </c>
      <c r="L23" s="107" t="s">
        <v>168</v>
      </c>
      <c r="M23" s="107"/>
      <c r="N23" s="107"/>
    </row>
    <row r="24" customFormat="false" ht="15.75" hidden="false" customHeight="true" outlineLevel="0" collapsed="false">
      <c r="A24" s="106" t="n">
        <v>46252</v>
      </c>
      <c r="B24" s="109" t="s">
        <v>135</v>
      </c>
      <c r="C24" s="107" t="n">
        <v>3</v>
      </c>
      <c r="D24" s="107" t="n">
        <v>1000</v>
      </c>
      <c r="E24" s="109" t="s">
        <v>135</v>
      </c>
      <c r="F24" s="107"/>
      <c r="G24" s="107"/>
      <c r="H24" s="107"/>
      <c r="I24" s="107"/>
      <c r="J24" s="107"/>
      <c r="K24" s="107" t="s">
        <v>168</v>
      </c>
      <c r="L24" s="107"/>
      <c r="M24" s="107"/>
      <c r="N24" s="107"/>
    </row>
    <row r="25" customFormat="false" ht="15.75" hidden="false" customHeight="true" outlineLevel="0" collapsed="false">
      <c r="A25" s="106" t="n">
        <v>46254</v>
      </c>
      <c r="B25" s="109" t="s">
        <v>134</v>
      </c>
      <c r="C25" s="107" t="n">
        <v>1</v>
      </c>
      <c r="D25" s="107" t="n">
        <v>1000</v>
      </c>
      <c r="E25" s="109" t="s">
        <v>134</v>
      </c>
      <c r="F25" s="107"/>
      <c r="G25" s="107" t="s">
        <v>168</v>
      </c>
      <c r="H25" s="107"/>
      <c r="I25" s="107"/>
      <c r="J25" s="107"/>
      <c r="K25" s="107" t="s">
        <v>168</v>
      </c>
      <c r="L25" s="107" t="s">
        <v>168</v>
      </c>
      <c r="M25" s="107" t="s">
        <v>168</v>
      </c>
      <c r="N25" s="107"/>
    </row>
    <row r="26" customFormat="false" ht="15.75" hidden="false" customHeight="true" outlineLevel="0" collapsed="false">
      <c r="A26" s="106" t="n">
        <v>46256</v>
      </c>
      <c r="B26" s="109" t="s">
        <v>134</v>
      </c>
      <c r="C26" s="107" t="n">
        <v>4</v>
      </c>
      <c r="D26" s="107" t="n">
        <v>1000</v>
      </c>
      <c r="E26" s="109" t="s">
        <v>135</v>
      </c>
      <c r="F26" s="107"/>
      <c r="G26" s="107"/>
      <c r="H26" s="107"/>
      <c r="I26" s="107"/>
      <c r="J26" s="107"/>
      <c r="K26" s="107" t="s">
        <v>168</v>
      </c>
      <c r="L26" s="107"/>
      <c r="M26" s="107"/>
      <c r="N26" s="107"/>
    </row>
    <row r="27" customFormat="false" ht="15.75" hidden="false" customHeight="true" outlineLevel="0" collapsed="false">
      <c r="A27" s="106" t="n">
        <v>46257</v>
      </c>
      <c r="B27" s="109" t="s">
        <v>135</v>
      </c>
      <c r="C27" s="107" t="n">
        <v>4</v>
      </c>
      <c r="D27" s="107" t="n">
        <v>500</v>
      </c>
      <c r="E27" s="109" t="s">
        <v>134</v>
      </c>
      <c r="F27" s="107"/>
      <c r="G27" s="107"/>
      <c r="H27" s="107"/>
      <c r="I27" s="107"/>
      <c r="J27" s="107"/>
      <c r="K27" s="107" t="s">
        <v>168</v>
      </c>
      <c r="L27" s="107" t="s">
        <v>168</v>
      </c>
      <c r="M27" s="107" t="s">
        <v>168</v>
      </c>
      <c r="N27" s="107"/>
    </row>
    <row r="28" customFormat="false" ht="15.75" hidden="false" customHeight="true" outlineLevel="0" collapsed="false">
      <c r="A28" s="106" t="n">
        <v>46258</v>
      </c>
      <c r="B28" s="109" t="s">
        <v>135</v>
      </c>
      <c r="C28" s="107" t="n">
        <v>3</v>
      </c>
      <c r="D28" s="107" t="n">
        <v>1000</v>
      </c>
      <c r="E28" s="109" t="s">
        <v>134</v>
      </c>
      <c r="F28" s="107"/>
      <c r="G28" s="107" t="s">
        <v>168</v>
      </c>
      <c r="H28" s="107"/>
      <c r="I28" s="107"/>
      <c r="J28" s="107"/>
      <c r="K28" s="107" t="s">
        <v>168</v>
      </c>
      <c r="L28" s="107"/>
      <c r="M28" s="107"/>
      <c r="N28" s="107"/>
    </row>
    <row r="29" customFormat="false" ht="15.75" hidden="false" customHeight="true" outlineLevel="0" collapsed="false">
      <c r="A29" s="106" t="n">
        <v>46259</v>
      </c>
      <c r="B29" s="109" t="s">
        <v>134</v>
      </c>
      <c r="C29" s="107" t="n">
        <v>3</v>
      </c>
      <c r="D29" s="107" t="n">
        <v>1000</v>
      </c>
      <c r="E29" s="109" t="s">
        <v>135</v>
      </c>
      <c r="F29" s="107"/>
      <c r="G29" s="107" t="s">
        <v>168</v>
      </c>
      <c r="H29" s="107"/>
      <c r="I29" s="107"/>
      <c r="J29" s="107" t="s">
        <v>168</v>
      </c>
      <c r="K29" s="107"/>
      <c r="L29" s="107"/>
      <c r="M29" s="107"/>
      <c r="N29" s="107"/>
    </row>
    <row r="30" customFormat="false" ht="15.75" hidden="false" customHeight="true" outlineLevel="0" collapsed="false">
      <c r="A30" s="106" t="n">
        <v>46260</v>
      </c>
      <c r="B30" s="109" t="s">
        <v>134</v>
      </c>
      <c r="C30" s="107" t="n">
        <v>3</v>
      </c>
      <c r="D30" s="107" t="n">
        <v>1000</v>
      </c>
      <c r="E30" s="109" t="s">
        <v>134</v>
      </c>
      <c r="F30" s="107"/>
      <c r="G30" s="107"/>
      <c r="H30" s="107"/>
      <c r="I30" s="107"/>
      <c r="J30" s="107" t="s">
        <v>168</v>
      </c>
      <c r="K30" s="107" t="s">
        <v>168</v>
      </c>
      <c r="L30" s="107" t="s">
        <v>168</v>
      </c>
      <c r="M30" s="107" t="s">
        <v>168</v>
      </c>
      <c r="N30" s="107"/>
    </row>
    <row r="31" customFormat="false" ht="15.75" hidden="false" customHeight="true" outlineLevel="0" collapsed="false">
      <c r="A31" s="106" t="n">
        <v>46261</v>
      </c>
      <c r="B31" s="109" t="s">
        <v>134</v>
      </c>
      <c r="C31" s="107" t="n">
        <v>3</v>
      </c>
      <c r="D31" s="107" t="n">
        <v>500</v>
      </c>
      <c r="E31" s="109" t="s">
        <v>134</v>
      </c>
      <c r="F31" s="107"/>
      <c r="G31" s="107"/>
      <c r="H31" s="107"/>
      <c r="I31" s="107"/>
      <c r="J31" s="107" t="s">
        <v>168</v>
      </c>
      <c r="K31" s="107" t="s">
        <v>168</v>
      </c>
      <c r="L31" s="107" t="s">
        <v>168</v>
      </c>
      <c r="M31" s="107" t="s">
        <v>168</v>
      </c>
      <c r="N31" s="107"/>
    </row>
    <row r="32" customFormat="false" ht="15.75" hidden="false" customHeight="true" outlineLevel="0" collapsed="false">
      <c r="A32" s="106" t="n">
        <v>46262</v>
      </c>
      <c r="B32" s="109" t="s">
        <v>135</v>
      </c>
      <c r="C32" s="107" t="n">
        <v>3</v>
      </c>
      <c r="D32" s="107" t="n">
        <v>1000</v>
      </c>
      <c r="E32" s="109" t="s">
        <v>134</v>
      </c>
      <c r="F32" s="107"/>
      <c r="G32" s="107" t="s">
        <v>168</v>
      </c>
      <c r="H32" s="107"/>
      <c r="I32" s="107"/>
      <c r="J32" s="107"/>
      <c r="K32" s="107" t="s">
        <v>168</v>
      </c>
      <c r="L32" s="107" t="s">
        <v>168</v>
      </c>
      <c r="M32" s="107"/>
      <c r="N32" s="107"/>
    </row>
    <row r="33" customFormat="false" ht="15.75" hidden="false" customHeight="true" outlineLevel="0" collapsed="false">
      <c r="A33" s="106" t="n">
        <v>46263</v>
      </c>
      <c r="B33" s="109" t="s">
        <v>134</v>
      </c>
      <c r="C33" s="107" t="n">
        <v>3</v>
      </c>
      <c r="D33" s="107" t="n">
        <v>1000</v>
      </c>
      <c r="E33" s="109" t="s">
        <v>134</v>
      </c>
      <c r="F33" s="107"/>
      <c r="G33" s="107" t="s">
        <v>168</v>
      </c>
      <c r="H33" s="107"/>
      <c r="I33" s="107"/>
      <c r="J33" s="107" t="s">
        <v>168</v>
      </c>
      <c r="K33" s="107" t="s">
        <v>168</v>
      </c>
      <c r="L33" s="107"/>
      <c r="M33" s="107"/>
      <c r="N33" s="107"/>
    </row>
    <row r="34" customFormat="false" ht="15.75" hidden="false" customHeight="true" outlineLevel="0" collapsed="false">
      <c r="A34" s="106" t="n">
        <v>46264</v>
      </c>
      <c r="B34" s="109" t="s">
        <v>134</v>
      </c>
      <c r="C34" s="107" t="n">
        <v>3</v>
      </c>
      <c r="D34" s="107" t="n">
        <v>1000</v>
      </c>
      <c r="E34" s="109" t="s">
        <v>134</v>
      </c>
      <c r="F34" s="107"/>
      <c r="G34" s="107"/>
      <c r="H34" s="107"/>
      <c r="I34" s="107" t="s">
        <v>168</v>
      </c>
      <c r="J34" s="107" t="s">
        <v>168</v>
      </c>
      <c r="K34" s="107"/>
      <c r="L34" s="107" t="s">
        <v>168</v>
      </c>
      <c r="M34" s="107"/>
      <c r="N34" s="107"/>
    </row>
    <row r="35" customFormat="false" ht="15.75" hidden="false" customHeight="true" outlineLevel="0" collapsed="false">
      <c r="A35" s="106" t="n">
        <v>46265</v>
      </c>
      <c r="B35" s="109" t="s">
        <v>134</v>
      </c>
      <c r="C35" s="107" t="n">
        <v>2</v>
      </c>
      <c r="D35" s="107" t="n">
        <v>1000</v>
      </c>
      <c r="E35" s="109" t="s">
        <v>134</v>
      </c>
      <c r="F35" s="107"/>
      <c r="G35" s="107" t="s">
        <v>168</v>
      </c>
      <c r="H35" s="107"/>
      <c r="I35" s="107"/>
      <c r="J35" s="107"/>
      <c r="K35" s="107" t="s">
        <v>168</v>
      </c>
      <c r="L35" s="107" t="s">
        <v>168</v>
      </c>
      <c r="M35" s="107"/>
      <c r="N35" s="107"/>
    </row>
    <row r="36" customFormat="false" ht="15.75" hidden="false" customHeight="true" outlineLevel="0" collapsed="false">
      <c r="A36" s="106" t="n">
        <v>46266</v>
      </c>
      <c r="B36" s="109" t="s">
        <v>134</v>
      </c>
      <c r="C36" s="107" t="n">
        <v>2</v>
      </c>
      <c r="D36" s="107" t="n">
        <v>500</v>
      </c>
      <c r="E36" s="109" t="s">
        <v>134</v>
      </c>
      <c r="F36" s="107"/>
      <c r="G36" s="107" t="s">
        <v>168</v>
      </c>
      <c r="H36" s="107"/>
      <c r="I36" s="107" t="s">
        <v>168</v>
      </c>
      <c r="J36" s="107"/>
      <c r="K36" s="107" t="s">
        <v>168</v>
      </c>
      <c r="L36" s="107"/>
      <c r="M36" s="107"/>
      <c r="N36" s="107"/>
    </row>
    <row r="37" customFormat="false" ht="15.75" hidden="false" customHeight="true" outlineLevel="0" collapsed="false">
      <c r="A37" s="106" t="n">
        <v>46267</v>
      </c>
      <c r="B37" s="109" t="s">
        <v>134</v>
      </c>
      <c r="C37" s="107" t="n">
        <v>3</v>
      </c>
      <c r="D37" s="107" t="n">
        <v>1000</v>
      </c>
      <c r="E37" s="109" t="s">
        <v>134</v>
      </c>
      <c r="F37" s="107"/>
      <c r="G37" s="107"/>
      <c r="H37" s="107"/>
      <c r="I37" s="107"/>
      <c r="J37" s="107" t="s">
        <v>168</v>
      </c>
      <c r="K37" s="107" t="s">
        <v>168</v>
      </c>
      <c r="L37" s="107" t="s">
        <v>168</v>
      </c>
      <c r="M37" s="107"/>
      <c r="N37" s="107"/>
    </row>
    <row r="38" customFormat="false" ht="15.75" hidden="false" customHeight="true" outlineLevel="0" collapsed="false">
      <c r="A38" s="106" t="n">
        <v>46268</v>
      </c>
      <c r="B38" s="109" t="s">
        <v>134</v>
      </c>
      <c r="C38" s="107" t="n">
        <v>3</v>
      </c>
      <c r="D38" s="107" t="n">
        <v>1000</v>
      </c>
      <c r="E38" s="109" t="s">
        <v>134</v>
      </c>
      <c r="F38" s="107"/>
      <c r="G38" s="107" t="s">
        <v>168</v>
      </c>
      <c r="H38" s="107"/>
      <c r="I38" s="107"/>
      <c r="J38" s="107"/>
      <c r="K38" s="107" t="s">
        <v>168</v>
      </c>
      <c r="L38" s="107" t="s">
        <v>168</v>
      </c>
      <c r="M38" s="107" t="s">
        <v>168</v>
      </c>
      <c r="N38" s="107"/>
    </row>
    <row r="39" customFormat="false" ht="15.75" hidden="false" customHeight="true" outlineLevel="0" collapsed="false">
      <c r="A39" s="106" t="n">
        <v>46269</v>
      </c>
      <c r="B39" s="109" t="s">
        <v>134</v>
      </c>
      <c r="C39" s="107" t="n">
        <v>3</v>
      </c>
      <c r="D39" s="107" t="n">
        <v>1000</v>
      </c>
      <c r="E39" s="109" t="s">
        <v>134</v>
      </c>
      <c r="F39" s="107"/>
      <c r="G39" s="107"/>
      <c r="H39" s="107"/>
      <c r="I39" s="107"/>
      <c r="J39" s="107" t="s">
        <v>168</v>
      </c>
      <c r="K39" s="107" t="s">
        <v>168</v>
      </c>
      <c r="L39" s="107" t="s">
        <v>168</v>
      </c>
      <c r="M39" s="107"/>
      <c r="N39" s="107"/>
    </row>
    <row r="40" customFormat="false" ht="15.75" hidden="false" customHeight="true" outlineLevel="0" collapsed="false">
      <c r="A40" s="106" t="n">
        <v>46270</v>
      </c>
      <c r="B40" s="109" t="s">
        <v>134</v>
      </c>
      <c r="C40" s="107" t="n">
        <v>3</v>
      </c>
      <c r="D40" s="107" t="n">
        <v>1000</v>
      </c>
      <c r="E40" s="109" t="s">
        <v>134</v>
      </c>
      <c r="F40" s="107"/>
      <c r="G40" s="107"/>
      <c r="H40" s="107"/>
      <c r="I40" s="107" t="s">
        <v>168</v>
      </c>
      <c r="J40" s="107"/>
      <c r="K40" s="107" t="s">
        <v>168</v>
      </c>
      <c r="L40" s="107"/>
      <c r="M40" s="107"/>
      <c r="N40" s="107"/>
    </row>
    <row r="41" customFormat="false" ht="15.75" hidden="false" customHeight="true" outlineLevel="0" collapsed="false">
      <c r="A41" s="106" t="n">
        <v>46271</v>
      </c>
      <c r="B41" s="109" t="s">
        <v>134</v>
      </c>
      <c r="C41" s="107" t="n">
        <v>3</v>
      </c>
      <c r="D41" s="107" t="n">
        <v>1000</v>
      </c>
      <c r="E41" s="109" t="s">
        <v>134</v>
      </c>
      <c r="F41" s="107" t="s">
        <v>168</v>
      </c>
      <c r="G41" s="107"/>
      <c r="H41" s="107"/>
      <c r="I41" s="107"/>
      <c r="J41" s="107"/>
      <c r="K41" s="107" t="s">
        <v>168</v>
      </c>
      <c r="L41" s="107"/>
      <c r="M41" s="107" t="s">
        <v>168</v>
      </c>
      <c r="N41" s="107"/>
    </row>
    <row r="42" customFormat="false" ht="15.75" hidden="false" customHeight="true" outlineLevel="0" collapsed="false">
      <c r="A42" s="106" t="n">
        <v>46272</v>
      </c>
      <c r="B42" s="109" t="s">
        <v>134</v>
      </c>
      <c r="C42" s="107" t="n">
        <v>3</v>
      </c>
      <c r="D42" s="107" t="n">
        <v>1000</v>
      </c>
      <c r="E42" s="109" t="s">
        <v>134</v>
      </c>
      <c r="F42" s="107"/>
      <c r="G42" s="107" t="s">
        <v>168</v>
      </c>
      <c r="H42" s="107"/>
      <c r="I42" s="107"/>
      <c r="J42" s="107" t="s">
        <v>168</v>
      </c>
      <c r="K42" s="107"/>
      <c r="L42" s="107"/>
      <c r="M42" s="107" t="s">
        <v>168</v>
      </c>
      <c r="N42" s="107"/>
    </row>
    <row r="43" customFormat="false" ht="15.75" hidden="false" customHeight="true" outlineLevel="0" collapsed="false">
      <c r="A43" s="106" t="n">
        <v>46273</v>
      </c>
      <c r="B43" s="109" t="s">
        <v>134</v>
      </c>
      <c r="C43" s="107" t="n">
        <v>2</v>
      </c>
      <c r="D43" s="107" t="n">
        <v>1000</v>
      </c>
      <c r="E43" s="109" t="s">
        <v>134</v>
      </c>
      <c r="F43" s="107"/>
      <c r="G43" s="107"/>
      <c r="H43" s="107"/>
      <c r="I43" s="107" t="s">
        <v>168</v>
      </c>
      <c r="J43" s="107"/>
      <c r="K43" s="107" t="s">
        <v>168</v>
      </c>
      <c r="L43" s="107"/>
      <c r="M43" s="107"/>
      <c r="N43" s="107"/>
    </row>
    <row r="44" customFormat="false" ht="15.75" hidden="false" customHeight="true" outlineLevel="0" collapsed="false">
      <c r="A44" s="106" t="n">
        <v>46274</v>
      </c>
      <c r="B44" s="109" t="s">
        <v>135</v>
      </c>
      <c r="C44" s="107" t="n">
        <v>3</v>
      </c>
      <c r="D44" s="107" t="n">
        <v>500</v>
      </c>
      <c r="E44" s="109" t="s">
        <v>134</v>
      </c>
      <c r="F44" s="107"/>
      <c r="G44" s="107"/>
      <c r="H44" s="107"/>
      <c r="I44" s="107"/>
      <c r="J44" s="107" t="s">
        <v>168</v>
      </c>
      <c r="K44" s="107" t="s">
        <v>168</v>
      </c>
      <c r="L44" s="107" t="s">
        <v>168</v>
      </c>
      <c r="M44" s="107"/>
      <c r="N44" s="107"/>
    </row>
    <row r="45" customFormat="false" ht="15.75" hidden="false" customHeight="true" outlineLevel="0" collapsed="false">
      <c r="A45" s="106" t="n">
        <v>46275</v>
      </c>
      <c r="B45" s="109" t="s">
        <v>134</v>
      </c>
      <c r="C45" s="107" t="n">
        <v>2</v>
      </c>
      <c r="D45" s="107" t="n">
        <v>1000</v>
      </c>
      <c r="E45" s="109" t="s">
        <v>134</v>
      </c>
      <c r="F45" s="107"/>
      <c r="G45" s="107"/>
      <c r="H45" s="107" t="s">
        <v>168</v>
      </c>
      <c r="I45" s="107" t="s">
        <v>168</v>
      </c>
      <c r="J45" s="107"/>
      <c r="K45" s="107" t="s">
        <v>168</v>
      </c>
      <c r="L45" s="107"/>
      <c r="M45" s="107" t="s">
        <v>168</v>
      </c>
      <c r="N45" s="107"/>
    </row>
    <row r="46" customFormat="false" ht="15.75" hidden="false" customHeight="true" outlineLevel="0" collapsed="false">
      <c r="A46" s="106" t="n">
        <v>46276</v>
      </c>
      <c r="B46" s="109" t="s">
        <v>134</v>
      </c>
      <c r="C46" s="107" t="n">
        <v>3</v>
      </c>
      <c r="D46" s="107" t="n">
        <v>1000</v>
      </c>
      <c r="E46" s="109" t="s">
        <v>134</v>
      </c>
      <c r="F46" s="107"/>
      <c r="G46" s="107"/>
      <c r="H46" s="107"/>
      <c r="I46" s="107"/>
      <c r="J46" s="107" t="s">
        <v>168</v>
      </c>
      <c r="K46" s="107" t="s">
        <v>168</v>
      </c>
      <c r="L46" s="107" t="s">
        <v>168</v>
      </c>
      <c r="M46" s="107"/>
      <c r="N46" s="107"/>
    </row>
    <row r="47" customFormat="false" ht="15.75" hidden="false" customHeight="true" outlineLevel="0" collapsed="false">
      <c r="A47" s="106" t="n">
        <v>46277</v>
      </c>
      <c r="B47" s="109" t="s">
        <v>135</v>
      </c>
      <c r="C47" s="107" t="n">
        <v>2</v>
      </c>
      <c r="D47" s="107" t="n">
        <v>1000</v>
      </c>
      <c r="E47" s="109" t="s">
        <v>134</v>
      </c>
      <c r="F47" s="107"/>
      <c r="G47" s="107" t="s">
        <v>168</v>
      </c>
      <c r="H47" s="107"/>
      <c r="I47" s="107" t="s">
        <v>168</v>
      </c>
      <c r="J47" s="107"/>
      <c r="K47" s="107" t="s">
        <v>168</v>
      </c>
      <c r="L47" s="107"/>
      <c r="M47" s="107" t="s">
        <v>168</v>
      </c>
      <c r="N47" s="107"/>
    </row>
    <row r="48" customFormat="false" ht="15.75" hidden="false" customHeight="true" outlineLevel="0" collapsed="false">
      <c r="A48" s="106" t="n">
        <v>46278</v>
      </c>
      <c r="B48" s="109" t="s">
        <v>135</v>
      </c>
      <c r="C48" s="107" t="n">
        <v>2</v>
      </c>
      <c r="D48" s="107" t="n">
        <v>500</v>
      </c>
      <c r="E48" s="109" t="s">
        <v>135</v>
      </c>
      <c r="F48" s="107" t="s">
        <v>168</v>
      </c>
      <c r="G48" s="107" t="s">
        <v>168</v>
      </c>
      <c r="H48" s="107"/>
      <c r="I48" s="107" t="s">
        <v>168</v>
      </c>
      <c r="J48" s="107"/>
      <c r="K48" s="107" t="s">
        <v>168</v>
      </c>
      <c r="L48" s="107" t="s">
        <v>168</v>
      </c>
      <c r="M48" s="107" t="s">
        <v>168</v>
      </c>
      <c r="N48" s="107"/>
    </row>
    <row r="49" customFormat="false" ht="15.75" hidden="false" customHeight="true" outlineLevel="0" collapsed="false">
      <c r="A49" s="106" t="n">
        <v>46279</v>
      </c>
      <c r="B49" s="109" t="s">
        <v>135</v>
      </c>
      <c r="C49" s="107" t="n">
        <v>3</v>
      </c>
      <c r="D49" s="107" t="n">
        <v>1000</v>
      </c>
      <c r="E49" s="109" t="s">
        <v>134</v>
      </c>
      <c r="F49" s="107"/>
      <c r="G49" s="107"/>
      <c r="H49" s="107"/>
      <c r="I49" s="107"/>
      <c r="J49" s="107"/>
      <c r="K49" s="107" t="s">
        <v>168</v>
      </c>
      <c r="L49" s="107" t="s">
        <v>168</v>
      </c>
      <c r="M49" s="107" t="s">
        <v>168</v>
      </c>
      <c r="N49" s="107"/>
    </row>
    <row r="50" customFormat="false" ht="15.75" hidden="false" customHeight="true" outlineLevel="0" collapsed="false">
      <c r="A50" s="106" t="n">
        <v>46280</v>
      </c>
      <c r="B50" s="109" t="s">
        <v>135</v>
      </c>
      <c r="C50" s="107" t="n">
        <v>3</v>
      </c>
      <c r="D50" s="107" t="n">
        <v>1000</v>
      </c>
      <c r="E50" s="109" t="s">
        <v>134</v>
      </c>
      <c r="F50" s="107"/>
      <c r="G50" s="107"/>
      <c r="H50" s="107"/>
      <c r="I50" s="107"/>
      <c r="J50" s="107" t="s">
        <v>168</v>
      </c>
      <c r="K50" s="107" t="s">
        <v>168</v>
      </c>
      <c r="L50" s="107" t="s">
        <v>168</v>
      </c>
      <c r="M50" s="107"/>
      <c r="N50" s="107"/>
    </row>
    <row r="51" customFormat="false" ht="15.75" hidden="false" customHeight="true" outlineLevel="0" collapsed="false">
      <c r="A51" s="106" t="n">
        <v>46281</v>
      </c>
      <c r="B51" s="109" t="s">
        <v>135</v>
      </c>
      <c r="C51" s="107" t="n">
        <v>2</v>
      </c>
      <c r="D51" s="107" t="n">
        <v>1000</v>
      </c>
      <c r="E51" s="109" t="s">
        <v>134</v>
      </c>
      <c r="F51" s="107"/>
      <c r="G51" s="107" t="s">
        <v>168</v>
      </c>
      <c r="H51" s="107"/>
      <c r="I51" s="107" t="s">
        <v>168</v>
      </c>
      <c r="J51" s="107"/>
      <c r="K51" s="107" t="s">
        <v>168</v>
      </c>
      <c r="L51" s="107"/>
      <c r="M51" s="107"/>
      <c r="N51" s="107"/>
    </row>
    <row r="52" customFormat="false" ht="15.75" hidden="false" customHeight="true" outlineLevel="0" collapsed="false">
      <c r="A52" s="106" t="n">
        <v>46282</v>
      </c>
      <c r="B52" s="109" t="s">
        <v>135</v>
      </c>
      <c r="C52" s="107" t="n">
        <v>2</v>
      </c>
      <c r="D52" s="107" t="n">
        <v>1000</v>
      </c>
      <c r="E52" s="109" t="s">
        <v>134</v>
      </c>
      <c r="F52" s="107"/>
      <c r="G52" s="107" t="s">
        <v>168</v>
      </c>
      <c r="H52" s="107" t="s">
        <v>168</v>
      </c>
      <c r="I52" s="107"/>
      <c r="J52" s="107"/>
      <c r="K52" s="107" t="s">
        <v>168</v>
      </c>
      <c r="L52" s="107"/>
      <c r="M52" s="107" t="s">
        <v>168</v>
      </c>
      <c r="N52" s="107"/>
    </row>
    <row r="53" customFormat="false" ht="15.75" hidden="false" customHeight="true" outlineLevel="0" collapsed="false">
      <c r="A53" s="106" t="n">
        <v>46283</v>
      </c>
      <c r="B53" s="109" t="s">
        <v>134</v>
      </c>
      <c r="C53" s="107" t="n">
        <v>2</v>
      </c>
      <c r="D53" s="107" t="n">
        <v>1000</v>
      </c>
      <c r="E53" s="109" t="s">
        <v>134</v>
      </c>
      <c r="F53" s="107"/>
      <c r="G53" s="107" t="s">
        <v>168</v>
      </c>
      <c r="H53" s="107"/>
      <c r="I53" s="107" t="s">
        <v>168</v>
      </c>
      <c r="J53" s="107" t="s">
        <v>168</v>
      </c>
      <c r="K53" s="107" t="s">
        <v>168</v>
      </c>
      <c r="L53" s="107"/>
      <c r="M53" s="107"/>
      <c r="N53" s="107"/>
    </row>
    <row r="54" customFormat="false" ht="15.75" hidden="false" customHeight="true" outlineLevel="0" collapsed="false">
      <c r="A54" s="106" t="n">
        <v>46284</v>
      </c>
      <c r="B54" s="109" t="s">
        <v>135</v>
      </c>
      <c r="C54" s="107" t="n">
        <v>3</v>
      </c>
      <c r="D54" s="107" t="n">
        <v>1000</v>
      </c>
      <c r="E54" s="109" t="s">
        <v>134</v>
      </c>
      <c r="F54" s="107"/>
      <c r="G54" s="107"/>
      <c r="H54" s="107"/>
      <c r="I54" s="107"/>
      <c r="J54" s="107"/>
      <c r="K54" s="107" t="s">
        <v>168</v>
      </c>
      <c r="L54" s="107"/>
      <c r="M54" s="107" t="s">
        <v>168</v>
      </c>
      <c r="N54" s="107"/>
    </row>
    <row r="55" customFormat="false" ht="15.75" hidden="false" customHeight="true" outlineLevel="0" collapsed="false">
      <c r="A55" s="106" t="n">
        <v>46285</v>
      </c>
      <c r="B55" s="109" t="s">
        <v>135</v>
      </c>
      <c r="C55" s="107" t="n">
        <v>3</v>
      </c>
      <c r="D55" s="107" t="n">
        <v>500</v>
      </c>
      <c r="E55" s="109" t="s">
        <v>134</v>
      </c>
      <c r="F55" s="107"/>
      <c r="G55" s="107" t="s">
        <v>168</v>
      </c>
      <c r="H55" s="107"/>
      <c r="I55" s="107"/>
      <c r="J55" s="107" t="s">
        <v>168</v>
      </c>
      <c r="K55" s="107" t="s">
        <v>168</v>
      </c>
      <c r="L55" s="107" t="s">
        <v>168</v>
      </c>
      <c r="M55" s="107" t="s">
        <v>168</v>
      </c>
      <c r="N55" s="107"/>
    </row>
    <row r="56" customFormat="false" ht="15.75" hidden="false" customHeight="true" outlineLevel="0" collapsed="false">
      <c r="A56" s="106" t="n">
        <v>46286</v>
      </c>
      <c r="B56" s="109" t="s">
        <v>135</v>
      </c>
      <c r="C56" s="107" t="n">
        <v>2</v>
      </c>
      <c r="D56" s="107" t="n">
        <v>500</v>
      </c>
      <c r="E56" s="109" t="s">
        <v>134</v>
      </c>
      <c r="F56" s="107"/>
      <c r="G56" s="107" t="s">
        <v>168</v>
      </c>
      <c r="H56" s="107"/>
      <c r="I56" s="107"/>
      <c r="J56" s="107" t="s">
        <v>168</v>
      </c>
      <c r="K56" s="107" t="s">
        <v>168</v>
      </c>
      <c r="L56" s="107"/>
      <c r="M56" s="107" t="s">
        <v>168</v>
      </c>
      <c r="N56" s="107"/>
    </row>
    <row r="57" customFormat="false" ht="15.75" hidden="false" customHeight="true" outlineLevel="0" collapsed="false">
      <c r="A57" s="106" t="n">
        <v>46287</v>
      </c>
      <c r="B57" s="109" t="s">
        <v>135</v>
      </c>
      <c r="C57" s="107" t="n">
        <v>3</v>
      </c>
      <c r="D57" s="107" t="n">
        <v>500</v>
      </c>
      <c r="E57" s="109" t="s">
        <v>134</v>
      </c>
      <c r="F57" s="107"/>
      <c r="G57" s="107"/>
      <c r="H57" s="107"/>
      <c r="I57" s="107" t="s">
        <v>168</v>
      </c>
      <c r="J57" s="107" t="s">
        <v>168</v>
      </c>
      <c r="K57" s="107" t="s">
        <v>168</v>
      </c>
      <c r="L57" s="107"/>
      <c r="M57" s="107" t="s">
        <v>168</v>
      </c>
      <c r="N57" s="107"/>
    </row>
    <row r="58" customFormat="false" ht="15.75" hidden="false" customHeight="true" outlineLevel="0" collapsed="false">
      <c r="A58" s="106" t="n">
        <v>46288</v>
      </c>
      <c r="B58" s="109" t="s">
        <v>134</v>
      </c>
      <c r="C58" s="107" t="n">
        <v>3</v>
      </c>
      <c r="D58" s="107" t="n">
        <v>1000</v>
      </c>
      <c r="E58" s="109" t="s">
        <v>134</v>
      </c>
      <c r="F58" s="107"/>
      <c r="G58" s="107"/>
      <c r="H58" s="107"/>
      <c r="I58" s="107" t="s">
        <v>168</v>
      </c>
      <c r="J58" s="107" t="s">
        <v>168</v>
      </c>
      <c r="K58" s="107" t="s">
        <v>168</v>
      </c>
      <c r="L58" s="107"/>
      <c r="M58" s="107" t="s">
        <v>168</v>
      </c>
      <c r="N58" s="107"/>
    </row>
    <row r="59" customFormat="false" ht="15.75" hidden="false" customHeight="true" outlineLevel="0" collapsed="false">
      <c r="A59" s="106" t="n">
        <v>46289</v>
      </c>
      <c r="B59" s="109" t="s">
        <v>134</v>
      </c>
      <c r="C59" s="107" t="n">
        <v>2</v>
      </c>
      <c r="D59" s="107" t="n">
        <v>1000</v>
      </c>
      <c r="E59" s="109" t="s">
        <v>134</v>
      </c>
      <c r="F59" s="107" t="s">
        <v>168</v>
      </c>
      <c r="G59" s="107"/>
      <c r="H59" s="107"/>
      <c r="I59" s="107" t="s">
        <v>168</v>
      </c>
      <c r="J59" s="107" t="s">
        <v>168</v>
      </c>
      <c r="K59" s="107" t="s">
        <v>168</v>
      </c>
      <c r="L59" s="107"/>
      <c r="M59" s="107" t="s">
        <v>168</v>
      </c>
      <c r="N59" s="107"/>
    </row>
    <row r="60" customFormat="false" ht="15.75" hidden="false" customHeight="true" outlineLevel="0" collapsed="false">
      <c r="A60" s="106" t="n">
        <v>46290</v>
      </c>
      <c r="B60" s="109" t="s">
        <v>135</v>
      </c>
      <c r="C60" s="107" t="n">
        <v>3</v>
      </c>
      <c r="D60" s="107" t="n">
        <v>1000</v>
      </c>
      <c r="E60" s="109" t="s">
        <v>134</v>
      </c>
      <c r="F60" s="107"/>
      <c r="G60" s="107" t="s">
        <v>168</v>
      </c>
      <c r="H60" s="107"/>
      <c r="I60" s="107"/>
      <c r="J60" s="107"/>
      <c r="K60" s="107" t="s">
        <v>168</v>
      </c>
      <c r="L60" s="107"/>
      <c r="M60" s="107" t="s">
        <v>168</v>
      </c>
      <c r="N60" s="107"/>
    </row>
    <row r="61" customFormat="false" ht="15.75" hidden="false" customHeight="true" outlineLevel="0" collapsed="false">
      <c r="A61" s="106" t="n">
        <v>46291</v>
      </c>
      <c r="B61" s="109" t="s">
        <v>134</v>
      </c>
      <c r="C61" s="107" t="n">
        <v>3</v>
      </c>
      <c r="D61" s="107" t="n">
        <v>1000</v>
      </c>
      <c r="E61" s="109" t="s">
        <v>134</v>
      </c>
      <c r="F61" s="107"/>
      <c r="G61" s="107" t="s">
        <v>168</v>
      </c>
      <c r="H61" s="107"/>
      <c r="I61" s="107"/>
      <c r="J61" s="107"/>
      <c r="K61" s="107" t="s">
        <v>168</v>
      </c>
      <c r="L61" s="107" t="s">
        <v>168</v>
      </c>
      <c r="M61" s="107"/>
      <c r="N61" s="107"/>
    </row>
    <row r="62" customFormat="false" ht="15.75" hidden="false" customHeight="true" outlineLevel="0" collapsed="false">
      <c r="A62" s="106" t="n">
        <v>46292</v>
      </c>
      <c r="B62" s="109" t="s">
        <v>135</v>
      </c>
      <c r="C62" s="107" t="n">
        <v>3</v>
      </c>
      <c r="D62" s="107" t="n">
        <v>1000</v>
      </c>
      <c r="E62" s="109" t="s">
        <v>134</v>
      </c>
      <c r="F62" s="107"/>
      <c r="G62" s="107"/>
      <c r="H62" s="107"/>
      <c r="I62" s="107"/>
      <c r="J62" s="107"/>
      <c r="K62" s="107" t="s">
        <v>168</v>
      </c>
      <c r="L62" s="107"/>
      <c r="M62" s="107" t="s">
        <v>168</v>
      </c>
      <c r="N62" s="107"/>
    </row>
    <row r="63" customFormat="false" ht="15.75" hidden="false" customHeight="true" outlineLevel="0" collapsed="false">
      <c r="A63" s="106" t="n">
        <v>46293</v>
      </c>
      <c r="B63" s="109" t="s">
        <v>135</v>
      </c>
      <c r="C63" s="107" t="n">
        <v>4</v>
      </c>
      <c r="D63" s="107" t="n">
        <v>500</v>
      </c>
      <c r="E63" s="109" t="s">
        <v>135</v>
      </c>
      <c r="F63" s="107"/>
      <c r="G63" s="107"/>
      <c r="H63" s="107"/>
      <c r="I63" s="107"/>
      <c r="J63" s="107"/>
      <c r="K63" s="107" t="s">
        <v>168</v>
      </c>
      <c r="L63" s="107"/>
      <c r="M63" s="107" t="s">
        <v>168</v>
      </c>
      <c r="N63" s="107"/>
    </row>
    <row r="64" customFormat="false" ht="15.75" hidden="false" customHeight="true" outlineLevel="0" collapsed="false">
      <c r="A64" s="106" t="n">
        <v>46294</v>
      </c>
      <c r="B64" s="109" t="s">
        <v>135</v>
      </c>
      <c r="C64" s="107" t="n">
        <v>3</v>
      </c>
      <c r="D64" s="107" t="n">
        <v>500</v>
      </c>
      <c r="E64" s="109" t="s">
        <v>134</v>
      </c>
      <c r="F64" s="107"/>
      <c r="G64" s="107"/>
      <c r="H64" s="107"/>
      <c r="I64" s="107"/>
      <c r="J64" s="107" t="s">
        <v>168</v>
      </c>
      <c r="K64" s="107" t="s">
        <v>168</v>
      </c>
      <c r="L64" s="107"/>
      <c r="M64" s="107" t="s">
        <v>168</v>
      </c>
      <c r="N64" s="107"/>
    </row>
    <row r="65" customFormat="false" ht="15.75" hidden="false" customHeight="true" outlineLevel="0" collapsed="false">
      <c r="A65" s="106" t="n">
        <v>46295</v>
      </c>
      <c r="B65" s="109" t="s">
        <v>134</v>
      </c>
      <c r="C65" s="107" t="n">
        <v>3</v>
      </c>
      <c r="D65" s="107" t="n">
        <v>1000</v>
      </c>
      <c r="E65" s="109" t="s">
        <v>134</v>
      </c>
      <c r="F65" s="107"/>
      <c r="G65" s="107"/>
      <c r="H65" s="107"/>
      <c r="I65" s="107"/>
      <c r="J65" s="107"/>
      <c r="K65" s="107" t="s">
        <v>168</v>
      </c>
      <c r="L65" s="107" t="s">
        <v>168</v>
      </c>
      <c r="M65" s="107" t="s">
        <v>168</v>
      </c>
      <c r="N65" s="107"/>
    </row>
    <row r="66" customFormat="false" ht="15.75" hidden="false" customHeight="true" outlineLevel="0" collapsed="false">
      <c r="A66" s="106" t="n">
        <v>46297</v>
      </c>
      <c r="B66" s="109" t="s">
        <v>135</v>
      </c>
      <c r="C66" s="107" t="n">
        <v>3</v>
      </c>
      <c r="D66" s="107" t="n">
        <v>1000</v>
      </c>
      <c r="E66" s="109" t="s">
        <v>134</v>
      </c>
      <c r="F66" s="107"/>
      <c r="G66" s="107" t="s">
        <v>168</v>
      </c>
      <c r="H66" s="107"/>
      <c r="I66" s="107"/>
      <c r="J66" s="107"/>
      <c r="K66" s="107" t="s">
        <v>168</v>
      </c>
      <c r="L66" s="107"/>
      <c r="M66" s="107"/>
      <c r="N66" s="107"/>
    </row>
    <row r="67" customFormat="false" ht="15.75" hidden="false" customHeight="true" outlineLevel="0" collapsed="false">
      <c r="A67" s="106" t="n">
        <v>46299</v>
      </c>
      <c r="B67" s="109" t="s">
        <v>135</v>
      </c>
      <c r="C67" s="107" t="n">
        <v>3</v>
      </c>
      <c r="D67" s="107" t="n">
        <v>500</v>
      </c>
      <c r="E67" s="109" t="s">
        <v>134</v>
      </c>
      <c r="F67" s="107"/>
      <c r="G67" s="107"/>
      <c r="H67" s="107"/>
      <c r="I67" s="107"/>
      <c r="J67" s="107"/>
      <c r="K67" s="107" t="s">
        <v>168</v>
      </c>
      <c r="L67" s="107"/>
      <c r="M67" s="107"/>
      <c r="N67" s="107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2026-10-05T07:26:55Z</dcterms:created>
  <dc:creator>openpyxl</dc:creator>
  <dc:description/>
  <dc:language>en-US</dc:language>
  <cp:lastModifiedBy/>
  <dcterms:modified xsi:type="dcterms:W3CDTF">2026-10-05T07:27:03Z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