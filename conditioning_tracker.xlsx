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日次記録" sheetId="2" state="visible" r:id="rId2"/>
    <sheet xmlns:r="http://schemas.openxmlformats.org/officeDocument/2006/relationships" name="週次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月D日(aaa)"/>
    <numFmt numFmtId="166" formatCode="+0.0;-0.0;0.0"/>
    <numFmt numFmtId="167" formatCode="0.0"/>
  </numFmts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color rgb="002563EB"/>
      <sz val="10"/>
    </font>
    <font>
      <name val="メイリオ"/>
      <b val="1"/>
      <color rgb="00FFFFFF"/>
      <sz val="11"/>
    </font>
    <font>
      <name val="メイリオ"/>
      <b val="1"/>
      <color rgb="0064748B"/>
      <sz val="9"/>
    </font>
    <font>
      <name val="メイリオ"/>
      <b val="1"/>
      <color rgb="001E293B"/>
      <sz val="10"/>
    </font>
    <font>
      <name val="メイリオ"/>
      <color rgb="001E293B"/>
      <sz val="10"/>
    </font>
    <font>
      <name val="メイリオ"/>
      <b val="1"/>
      <color rgb="00FFFFFF"/>
      <sz val="14"/>
    </font>
    <font>
      <name val="メイリオ"/>
      <color rgb="0064748B"/>
      <sz val="9"/>
    </font>
    <font>
      <name val="メイリオ"/>
      <b val="1"/>
      <color rgb="00FFFFFF"/>
      <sz val="9"/>
    </font>
    <font>
      <name val="メイリオ"/>
      <color rgb="0093C5FD"/>
      <sz val="8"/>
    </font>
    <font>
      <name val="メイリオ"/>
      <b val="1"/>
      <color rgb="001E293B"/>
      <sz val="9"/>
    </font>
    <font>
      <name val="メイリオ"/>
      <color rgb="001E293B"/>
      <sz val="9"/>
    </font>
    <font>
      <name val="メイリオ"/>
      <color rgb="002563EB"/>
      <sz val="9"/>
    </font>
    <font>
      <name val="メイリオ"/>
      <b val="1"/>
      <color rgb="002563EB"/>
      <sz val="10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9333EA"/>
      </patternFill>
    </fill>
    <fill>
      <patternFill patternType="solid">
        <fgColor rgb="00475569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FF3CD"/>
      </patternFill>
    </fill>
    <fill>
      <patternFill patternType="solid">
        <fgColor rgb="00E0F2FE"/>
      </patternFill>
    </fill>
    <fill>
      <patternFill patternType="solid">
        <fgColor rgb="002E4F7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165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1" fontId="13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center" wrapText="1"/>
    </xf>
    <xf numFmtId="165" fontId="11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1" fontId="13" fillId="3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/>
    </xf>
    <xf numFmtId="166" fontId="13" fillId="15" borderId="1" applyAlignment="1" pivotButton="0" quotePrefix="0" xfId="0">
      <alignment horizontal="center" vertical="center" wrapText="1"/>
    </xf>
    <xf numFmtId="167" fontId="13" fillId="15" borderId="1" applyAlignment="1" pivotButton="0" quotePrefix="0" xfId="0">
      <alignment horizontal="center" vertical="center" wrapText="1"/>
    </xf>
    <xf numFmtId="167" fontId="13" fillId="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167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167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メイリオ"/>
        <b val="1"/>
        <color rgb="00DC2626"/>
        <sz val="9"/>
      </font>
      <fill>
        <patternFill patternType="solid">
          <fgColor rgb="00FEE2E2"/>
        </patternFill>
      </fill>
    </dxf>
    <dxf>
      <font>
        <name val="メイリオ"/>
        <b val="1"/>
        <color rgb="00EA580C"/>
        <sz val="9"/>
      </font>
      <fill>
        <patternFill patternType="solid">
          <fgColor rgb="00FFEDD5"/>
        </patternFill>
      </fill>
    </dxf>
    <dxf>
      <font>
        <name val="メイリオ"/>
        <b val="1"/>
        <color rgb="00CA8A04"/>
        <sz val="9"/>
      </font>
      <fill>
        <patternFill patternType="solid">
          <fgColor rgb="00FEF9C3"/>
        </patternFill>
      </fill>
    </dxf>
    <dxf>
      <font>
        <name val="メイリオ"/>
        <b val="1"/>
        <color rgb="000369A1"/>
        <sz val="9"/>
      </font>
      <fill>
        <patternFill patternType="solid">
          <fgColor rgb="00E0F2FE"/>
        </patternFill>
      </fill>
    </dxf>
    <dxf>
      <font>
        <name val="メイリオ"/>
        <b val="1"/>
        <color rgb="00EA580C"/>
        <sz val="10"/>
      </font>
      <fill>
        <patternFill patternType="solid">
          <fgColor rgb="00FFEDD5"/>
        </patternFill>
      </fill>
    </dxf>
    <dxf>
      <font>
        <name val="メイリオ"/>
        <b val="1"/>
        <color rgb="00CA8A04"/>
        <sz val="10"/>
      </font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グラフ① 体重3日移動平均の推移</a:t>
            </a:r>
          </a:p>
        </rich>
      </tx>
    </title>
    <plotArea>
      <lineChart>
        <grouping val="standard"/>
        <ser>
          <idx val="0"/>
          <order val="0"/>
          <tx>
            <v>3日移動平均体重(kg)</v>
          </tx>
          <spPr>
            <a:ln xmlns:a="http://schemas.openxmlformats.org/drawingml/2006/main" w="20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'日次記録'!$A$5:$A$34</f>
            </numRef>
          </cat>
          <val>
            <numRef>
              <f>'日次記録'!$D$5:$D$34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体重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グラフ② 週ごとの練習負荷スコアと主食量</a:t>
            </a:r>
          </a:p>
        </rich>
      </tx>
    </title>
    <plotArea>
      <barChart>
        <barDir val="col"/>
        <grouping val="clustered"/>
        <ser>
          <idx val="0"/>
          <order val="0"/>
          <tx>
            <v>練習負荷スコア（週合計）</v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numRef>
              <f>'週次サマリー'!$A$5:$A$8</f>
            </numRef>
          </cat>
          <val>
            <numRef>
              <f>'週次サマリー'!$F$5:$F$8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平均主食量（茶碗/日）</v>
          </tx>
          <spPr>
            <a:ln xmlns:a="http://schemas.openxmlformats.org/drawingml/2006/main" w="25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'週次サマリー'!$G$5:$G$8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練習負荷スコア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主食量 (茶碗/日)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コンディション × 食事 自己管理シート　使い方</t>
        </is>
      </c>
    </row>
    <row r="2" ht="22" customHeight="1">
      <c r="A2" s="2" t="inlineStr">
        <is>
          <t>このシートの目的：食事・コンディションの記録を通じて、自分の体の傾向を把握し、食事を調整する力を身につける</t>
        </is>
      </c>
    </row>
    <row r="4" ht="24" customHeight="1">
      <c r="A4" s="3" t="inlineStr">
        <is>
          <t xml:space="preserve">  STEP 1　毎日記録する項目（「日次記録」シートに入力）</t>
        </is>
      </c>
    </row>
    <row r="5" ht="18" customHeight="1">
      <c r="B5" s="4" t="inlineStr">
        <is>
          <t>項目</t>
        </is>
      </c>
      <c r="D5" s="4" t="inlineStr">
        <is>
          <t>説明</t>
        </is>
      </c>
    </row>
    <row r="6" ht="18" customHeight="1">
      <c r="B6" s="5" t="inlineStr">
        <is>
          <t>体重 (kg)</t>
        </is>
      </c>
      <c r="D6" s="6" t="inlineStr">
        <is>
          <t>毎朝、起床直後・トイレ後に測定。同じ条件で測ることが大切</t>
        </is>
      </c>
    </row>
    <row r="7" ht="18" customHeight="1">
      <c r="B7" s="5" t="inlineStr">
        <is>
          <t>疲労度 (0〜10)</t>
        </is>
      </c>
      <c r="D7" s="6" t="inlineStr">
        <is>
          <t>0=全く疲れていない、10=ひどく疲れて動けないほど　で主観評価</t>
        </is>
      </c>
    </row>
    <row r="8" ht="18" customHeight="1">
      <c r="B8" s="5" t="inlineStr">
        <is>
          <t>睡眠時間 (h)</t>
        </is>
      </c>
      <c r="D8" s="6" t="inlineStr">
        <is>
          <t>前夜の実際の睡眠時間（例：7.5）</t>
        </is>
      </c>
    </row>
    <row r="9" ht="18" customHeight="1">
      <c r="B9" s="5" t="inlineStr">
        <is>
          <t>睡眠の質 (0〜5)</t>
        </is>
      </c>
      <c r="D9" s="6" t="inlineStr">
        <is>
          <t>0=最悪、5=最高　で主観評価</t>
        </is>
      </c>
    </row>
    <row r="10" ht="18" customHeight="1">
      <c r="B10" s="5" t="inlineStr">
        <is>
          <t>練習時間 (分)</t>
        </is>
      </c>
      <c r="D10" s="6" t="inlineStr">
        <is>
          <t>その日のトレーニング時間（例：90）</t>
        </is>
      </c>
    </row>
    <row r="11" ht="18" customHeight="1">
      <c r="B11" s="5" t="inlineStr">
        <is>
          <t>RPE (0〜10)</t>
        </is>
      </c>
      <c r="D11" s="6" t="inlineStr">
        <is>
          <t>運動強度の自覚（0=安静、10=最大強度）</t>
        </is>
      </c>
    </row>
    <row r="12" ht="18" customHeight="1">
      <c r="B12" s="5" t="inlineStr">
        <is>
          <t>練習負荷スコア</t>
        </is>
      </c>
      <c r="D12" s="6" t="inlineStr">
        <is>
          <t>自動計算：練習時間(分) × RPE　→ 高いほど負荷が大きい</t>
        </is>
      </c>
    </row>
    <row r="13" ht="18" customHeight="1">
      <c r="B13" s="5" t="inlineStr">
        <is>
          <t>主食量 (茶碗換算)</t>
        </is>
      </c>
      <c r="D13" s="6" t="inlineStr">
        <is>
          <t>ご飯・パン・麺を「茶碗何杯分」に換算（パン1枚≒0.5杯、麺1人前≒1.5杯）</t>
        </is>
      </c>
    </row>
    <row r="14" ht="18" customHeight="1">
      <c r="B14" s="5" t="inlineStr">
        <is>
          <t>水分摂取量 (mL)</t>
        </is>
      </c>
      <c r="D14" s="6" t="inlineStr">
        <is>
          <t>練習中も含めた1日の合計水分量（目安：練習日は2,500 mL以上）</t>
        </is>
      </c>
    </row>
    <row r="15" ht="18" customHeight="1">
      <c r="B15" s="5" t="inlineStr">
        <is>
          <t>補食・サプリ</t>
        </is>
      </c>
      <c r="D15" s="6" t="inlineStr">
        <is>
          <t>摂取したものを自由記述（例：プロテイン20g、バナナ1本）</t>
        </is>
      </c>
    </row>
    <row r="17" ht="24" customHeight="1">
      <c r="A17" s="7" t="inlineStr">
        <is>
          <t xml:space="preserve">  STEP 2　週に1回チェックする（「週次サマリー」シートを確認）</t>
        </is>
      </c>
    </row>
    <row r="18" ht="18" customHeight="1">
      <c r="B18" s="4" t="inlineStr">
        <is>
          <t>項目</t>
        </is>
      </c>
      <c r="D18" s="4" t="inlineStr">
        <is>
          <t>説明</t>
        </is>
      </c>
    </row>
    <row r="19" ht="18" customHeight="1">
      <c r="B19" s="5" t="inlineStr">
        <is>
          <t>体重の変動</t>
        </is>
      </c>
      <c r="D19" s="6" t="inlineStr">
        <is>
          <t>3日移動平均が2日以上連続で下降→エネルギー不足のサイン。主食を1品追加</t>
        </is>
      </c>
    </row>
    <row r="20" ht="18" customHeight="1">
      <c r="B20" s="5" t="inlineStr">
        <is>
          <t>疲労度と前日の主食</t>
        </is>
      </c>
      <c r="D20" s="6" t="inlineStr">
        <is>
          <t>高疲労（7以上）の日の前日に主食が少なくなかったか確認</t>
        </is>
      </c>
    </row>
    <row r="21" ht="18" customHeight="1">
      <c r="B21" s="5" t="inlineStr">
        <is>
          <t>練習負荷と体重</t>
        </is>
      </c>
      <c r="D21" s="6" t="inlineStr">
        <is>
          <t>高負荷（スコア700以上）翌日に体重が-1 kg以上→脱水＋グリコーゲン消耗</t>
        </is>
      </c>
    </row>
    <row r="22" ht="18" customHeight="1">
      <c r="B22" s="5" t="inlineStr">
        <is>
          <t>水分不足</t>
        </is>
      </c>
      <c r="D22" s="6" t="inlineStr">
        <is>
          <t>水分摂取量が2,000 mL未満の日が続いたら意識的に補給量を増やす</t>
        </is>
      </c>
    </row>
    <row r="24" ht="24" customHeight="1">
      <c r="A24" s="8" t="inlineStr">
        <is>
          <t xml:space="preserve">  STEP 3　月に1回グラフを確認する（「週次サマリー」シートのグラフ）</t>
        </is>
      </c>
    </row>
    <row r="25" ht="18" customHeight="1">
      <c r="B25" s="4" t="inlineStr">
        <is>
          <t>項目</t>
        </is>
      </c>
      <c r="D25" s="4" t="inlineStr">
        <is>
          <t>説明</t>
        </is>
      </c>
    </row>
    <row r="26" ht="18" customHeight="1">
      <c r="B26" s="5" t="inlineStr">
        <is>
          <t>グラフ①</t>
        </is>
      </c>
      <c r="D26" s="6" t="inlineStr">
        <is>
          <t>体重の推移（折れ線）＋疲労度の平均（棒）→エネルギー不足の時期を特定</t>
        </is>
      </c>
    </row>
    <row r="27" ht="18" customHeight="1">
      <c r="B27" s="5" t="inlineStr">
        <is>
          <t>グラフ②</t>
        </is>
      </c>
      <c r="D27" s="6" t="inlineStr">
        <is>
          <t>週ごとの練習負荷スコア（棒）＋主食量の平均（折れ線）→負荷に炭水化物が追いついているか確認</t>
        </is>
      </c>
    </row>
    <row r="30" ht="22" customHeight="1">
      <c r="A30" s="9" t="inlineStr">
        <is>
          <t xml:space="preserve">  自動警告の色の意味（「日次記録」シート）</t>
        </is>
      </c>
    </row>
    <row r="31" ht="18" customHeight="1">
      <c r="B31" s="10" t="n"/>
      <c r="D31" s="6" t="inlineStr">
        <is>
          <t>赤：体重が前日比 −1.0 kg以上低下　→ 脱水の可能性。水分・電解質を補給</t>
        </is>
      </c>
    </row>
    <row r="32" ht="18" customHeight="1">
      <c r="B32" s="11" t="n"/>
      <c r="D32" s="6" t="inlineStr">
        <is>
          <t>橙：疲労度が 8 以上　→ 高疲労。前日・当日の炭水化物摂取を確認</t>
        </is>
      </c>
    </row>
    <row r="33" ht="18" customHeight="1">
      <c r="B33" s="12" t="n"/>
      <c r="D33" s="6" t="inlineStr">
        <is>
          <t>黄：主食量が 2 茶碗未満　→ 炭水化物不足の可能性</t>
        </is>
      </c>
    </row>
    <row r="34" ht="18" customHeight="1">
      <c r="B34" s="13" t="n"/>
      <c r="D34" s="6" t="inlineStr">
        <is>
          <t>水色：水分摂取量が 2,000 mL未満　→ 水分補給の強化が必要</t>
        </is>
      </c>
    </row>
  </sheetData>
  <mergeCells count="49">
    <mergeCell ref="A30:H30"/>
    <mergeCell ref="D20:H20"/>
    <mergeCell ref="B7:C7"/>
    <mergeCell ref="D34:H34"/>
    <mergeCell ref="D10:H10"/>
    <mergeCell ref="A24:H24"/>
    <mergeCell ref="D19:H19"/>
    <mergeCell ref="B22:C22"/>
    <mergeCell ref="B31:C31"/>
    <mergeCell ref="A1:H1"/>
    <mergeCell ref="B27:C27"/>
    <mergeCell ref="D22:H22"/>
    <mergeCell ref="D31:H31"/>
    <mergeCell ref="B12:C12"/>
    <mergeCell ref="B21:C21"/>
    <mergeCell ref="D21:H21"/>
    <mergeCell ref="D6:H6"/>
    <mergeCell ref="B11:C11"/>
    <mergeCell ref="D11:H11"/>
    <mergeCell ref="D13:H13"/>
    <mergeCell ref="D27:H27"/>
    <mergeCell ref="B14:C14"/>
    <mergeCell ref="D32:H32"/>
    <mergeCell ref="B8:C8"/>
    <mergeCell ref="B13:C13"/>
    <mergeCell ref="D7:H7"/>
    <mergeCell ref="B19:C19"/>
    <mergeCell ref="A2:H2"/>
    <mergeCell ref="B34:C34"/>
    <mergeCell ref="B10:C10"/>
    <mergeCell ref="B9:C9"/>
    <mergeCell ref="D18:H18"/>
    <mergeCell ref="D9:H9"/>
    <mergeCell ref="A17:H17"/>
    <mergeCell ref="A4:H4"/>
    <mergeCell ref="B6:C6"/>
    <mergeCell ref="D12:H12"/>
    <mergeCell ref="D8:H8"/>
    <mergeCell ref="D25:H25"/>
    <mergeCell ref="B15:C15"/>
    <mergeCell ref="D15:H15"/>
    <mergeCell ref="B33:C33"/>
    <mergeCell ref="B20:C20"/>
    <mergeCell ref="D33:H33"/>
    <mergeCell ref="D5:H5"/>
    <mergeCell ref="B32:C32"/>
    <mergeCell ref="D14:H14"/>
    <mergeCell ref="B26:C26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9" customWidth="1" min="11" max="11"/>
    <col width="9" customWidth="1" min="12" max="12"/>
    <col width="30" customWidth="1" min="13" max="13"/>
  </cols>
  <sheetData>
    <row r="1" ht="30" customHeight="1">
      <c r="A1" s="14" t="inlineStr">
        <is>
          <t>コンディション × 食事　日次記録シート</t>
        </is>
      </c>
    </row>
    <row r="2" ht="16" customHeight="1">
      <c r="A2" s="15" t="inlineStr">
        <is>
          <t xml:space="preserve">　青色列：自動計算（入力不要）　緑色列：自由記述　白色列：毎日入力</t>
        </is>
      </c>
    </row>
    <row r="3" ht="22" customHeight="1">
      <c r="A3" s="16" t="inlineStr">
        <is>
          <t>日付</t>
        </is>
      </c>
      <c r="B3" s="16" t="inlineStr">
        <is>
          <t>体重</t>
        </is>
      </c>
      <c r="C3" s="16" t="inlineStr">
        <is>
          <t>前日比</t>
        </is>
      </c>
      <c r="D3" s="16" t="inlineStr">
        <is>
          <t>3日移動
平均</t>
        </is>
      </c>
      <c r="E3" s="16" t="inlineStr">
        <is>
          <t>疲労度</t>
        </is>
      </c>
      <c r="F3" s="16" t="inlineStr">
        <is>
          <t>睡眠時間</t>
        </is>
      </c>
      <c r="G3" s="16" t="inlineStr">
        <is>
          <t>睡眠の質</t>
        </is>
      </c>
      <c r="H3" s="16" t="inlineStr">
        <is>
          <t>練習時間</t>
        </is>
      </c>
      <c r="I3" s="16" t="inlineStr">
        <is>
          <t>RPE</t>
        </is>
      </c>
      <c r="J3" s="16" t="inlineStr">
        <is>
          <t>練習負荷
スコア</t>
        </is>
      </c>
      <c r="K3" s="16" t="inlineStr">
        <is>
          <t>主食量</t>
        </is>
      </c>
      <c r="L3" s="16" t="inlineStr">
        <is>
          <t>水分摂取量</t>
        </is>
      </c>
      <c r="M3" s="16" t="inlineStr">
        <is>
          <t>補食・サプリメント</t>
        </is>
      </c>
    </row>
    <row r="4" ht="16" customHeight="1">
      <c r="A4" s="17" t="inlineStr"/>
      <c r="B4" s="17" t="inlineStr">
        <is>
          <t>(kg)</t>
        </is>
      </c>
      <c r="C4" s="17" t="inlineStr">
        <is>
          <t>(kg)</t>
        </is>
      </c>
      <c r="D4" s="17" t="inlineStr">
        <is>
          <t>(kg)</t>
        </is>
      </c>
      <c r="E4" s="17" t="inlineStr">
        <is>
          <t>(0〜10)</t>
        </is>
      </c>
      <c r="F4" s="17" t="inlineStr">
        <is>
          <t>(h)</t>
        </is>
      </c>
      <c r="G4" s="17" t="inlineStr">
        <is>
          <t>(0〜5)</t>
        </is>
      </c>
      <c r="H4" s="17" t="inlineStr">
        <is>
          <t>(分)</t>
        </is>
      </c>
      <c r="I4" s="17" t="inlineStr">
        <is>
          <t>(0〜10)</t>
        </is>
      </c>
      <c r="J4" s="17" t="inlineStr">
        <is>
          <t>(分×RPE)</t>
        </is>
      </c>
      <c r="K4" s="17" t="inlineStr">
        <is>
          <t>(茶碗換算)</t>
        </is>
      </c>
      <c r="L4" s="17" t="inlineStr">
        <is>
          <t>(mL)</t>
        </is>
      </c>
      <c r="M4" s="17" t="inlineStr">
        <is>
          <t>(自由記述)</t>
        </is>
      </c>
    </row>
    <row r="5" ht="18" customHeight="1">
      <c r="A5" s="18" t="n">
        <v>46174</v>
      </c>
      <c r="B5" s="19" t="n"/>
      <c r="C5" s="20" t="n"/>
      <c r="D5" s="20" t="n"/>
      <c r="E5" s="19" t="n"/>
      <c r="F5" s="19" t="n"/>
      <c r="G5" s="19" t="n"/>
      <c r="H5" s="19" t="n"/>
      <c r="I5" s="19" t="n"/>
      <c r="J5" s="21">
        <f>IFERROR(H5*I5,"")</f>
        <v/>
      </c>
      <c r="K5" s="19" t="n"/>
      <c r="L5" s="19" t="n"/>
      <c r="M5" s="22" t="n"/>
    </row>
    <row r="6" ht="18" customHeight="1">
      <c r="A6" s="23" t="n">
        <v>46175</v>
      </c>
      <c r="B6" s="24" t="n"/>
      <c r="C6" s="25">
        <f>B6-B5</f>
        <v/>
      </c>
      <c r="D6" s="26" t="n"/>
      <c r="E6" s="24" t="n"/>
      <c r="F6" s="24" t="n"/>
      <c r="G6" s="24" t="n"/>
      <c r="H6" s="24" t="n"/>
      <c r="I6" s="24" t="n"/>
      <c r="J6" s="27">
        <f>IFERROR(H6*I6,"")</f>
        <v/>
      </c>
      <c r="K6" s="24" t="n"/>
      <c r="L6" s="24" t="n"/>
      <c r="M6" s="28" t="n"/>
    </row>
    <row r="7" ht="18" customHeight="1">
      <c r="A7" s="18" t="n">
        <v>46176</v>
      </c>
      <c r="B7" s="19" t="n"/>
      <c r="C7" s="29">
        <f>B7-B6</f>
        <v/>
      </c>
      <c r="D7" s="30">
        <f>IFERROR(AVERAGE(B5:B7),"")</f>
        <v/>
      </c>
      <c r="E7" s="19" t="n"/>
      <c r="F7" s="19" t="n"/>
      <c r="G7" s="19" t="n"/>
      <c r="H7" s="19" t="n"/>
      <c r="I7" s="19" t="n"/>
      <c r="J7" s="21">
        <f>IFERROR(H7*I7,"")</f>
        <v/>
      </c>
      <c r="K7" s="19" t="n"/>
      <c r="L7" s="19" t="n"/>
      <c r="M7" s="22" t="n"/>
    </row>
    <row r="8" ht="18" customHeight="1">
      <c r="A8" s="23" t="n">
        <v>46177</v>
      </c>
      <c r="B8" s="24" t="n"/>
      <c r="C8" s="25">
        <f>B8-B7</f>
        <v/>
      </c>
      <c r="D8" s="31">
        <f>IFERROR(AVERAGE(B6:B8),"")</f>
        <v/>
      </c>
      <c r="E8" s="24" t="n"/>
      <c r="F8" s="24" t="n"/>
      <c r="G8" s="24" t="n"/>
      <c r="H8" s="24" t="n"/>
      <c r="I8" s="24" t="n"/>
      <c r="J8" s="27">
        <f>IFERROR(H8*I8,"")</f>
        <v/>
      </c>
      <c r="K8" s="24" t="n"/>
      <c r="L8" s="24" t="n"/>
      <c r="M8" s="28" t="n"/>
    </row>
    <row r="9" ht="18" customHeight="1">
      <c r="A9" s="18" t="n">
        <v>46178</v>
      </c>
      <c r="B9" s="19" t="n"/>
      <c r="C9" s="29">
        <f>B9-B8</f>
        <v/>
      </c>
      <c r="D9" s="30">
        <f>IFERROR(AVERAGE(B7:B9),"")</f>
        <v/>
      </c>
      <c r="E9" s="19" t="n"/>
      <c r="F9" s="19" t="n"/>
      <c r="G9" s="19" t="n"/>
      <c r="H9" s="19" t="n"/>
      <c r="I9" s="19" t="n"/>
      <c r="J9" s="21">
        <f>IFERROR(H9*I9,"")</f>
        <v/>
      </c>
      <c r="K9" s="19" t="n"/>
      <c r="L9" s="19" t="n"/>
      <c r="M9" s="22" t="n"/>
    </row>
    <row r="10" ht="18" customHeight="1">
      <c r="A10" s="23" t="n">
        <v>46179</v>
      </c>
      <c r="B10" s="24" t="n"/>
      <c r="C10" s="25">
        <f>B10-B9</f>
        <v/>
      </c>
      <c r="D10" s="31">
        <f>IFERROR(AVERAGE(B8:B10),"")</f>
        <v/>
      </c>
      <c r="E10" s="24" t="n"/>
      <c r="F10" s="24" t="n"/>
      <c r="G10" s="24" t="n"/>
      <c r="H10" s="24" t="n"/>
      <c r="I10" s="24" t="n"/>
      <c r="J10" s="27">
        <f>IFERROR(H10*I10,"")</f>
        <v/>
      </c>
      <c r="K10" s="24" t="n"/>
      <c r="L10" s="24" t="n"/>
      <c r="M10" s="28" t="n"/>
    </row>
    <row r="11" ht="18" customHeight="1">
      <c r="A11" s="18" t="n">
        <v>46180</v>
      </c>
      <c r="B11" s="19" t="n"/>
      <c r="C11" s="29">
        <f>B11-B10</f>
        <v/>
      </c>
      <c r="D11" s="30">
        <f>IFERROR(AVERAGE(B9:B11),"")</f>
        <v/>
      </c>
      <c r="E11" s="19" t="n"/>
      <c r="F11" s="19" t="n"/>
      <c r="G11" s="19" t="n"/>
      <c r="H11" s="19" t="n"/>
      <c r="I11" s="19" t="n"/>
      <c r="J11" s="21">
        <f>IFERROR(H11*I11,"")</f>
        <v/>
      </c>
      <c r="K11" s="19" t="n"/>
      <c r="L11" s="19" t="n"/>
      <c r="M11" s="22" t="n"/>
    </row>
    <row r="12" ht="18" customHeight="1">
      <c r="A12" s="23" t="n">
        <v>46181</v>
      </c>
      <c r="B12" s="24" t="n"/>
      <c r="C12" s="25">
        <f>B12-B11</f>
        <v/>
      </c>
      <c r="D12" s="31">
        <f>IFERROR(AVERAGE(B10:B12),"")</f>
        <v/>
      </c>
      <c r="E12" s="24" t="n"/>
      <c r="F12" s="24" t="n"/>
      <c r="G12" s="24" t="n"/>
      <c r="H12" s="24" t="n"/>
      <c r="I12" s="24" t="n"/>
      <c r="J12" s="27">
        <f>IFERROR(H12*I12,"")</f>
        <v/>
      </c>
      <c r="K12" s="24" t="n"/>
      <c r="L12" s="24" t="n"/>
      <c r="M12" s="28" t="n"/>
    </row>
    <row r="13" ht="18" customHeight="1">
      <c r="A13" s="18" t="n">
        <v>46182</v>
      </c>
      <c r="B13" s="19" t="n"/>
      <c r="C13" s="29">
        <f>B13-B12</f>
        <v/>
      </c>
      <c r="D13" s="30">
        <f>IFERROR(AVERAGE(B11:B13),"")</f>
        <v/>
      </c>
      <c r="E13" s="19" t="n"/>
      <c r="F13" s="19" t="n"/>
      <c r="G13" s="19" t="n"/>
      <c r="H13" s="19" t="n"/>
      <c r="I13" s="19" t="n"/>
      <c r="J13" s="21">
        <f>IFERROR(H13*I13,"")</f>
        <v/>
      </c>
      <c r="K13" s="19" t="n"/>
      <c r="L13" s="19" t="n"/>
      <c r="M13" s="22" t="n"/>
    </row>
    <row r="14" ht="18" customHeight="1">
      <c r="A14" s="23" t="n">
        <v>46183</v>
      </c>
      <c r="B14" s="24" t="n"/>
      <c r="C14" s="25">
        <f>B14-B13</f>
        <v/>
      </c>
      <c r="D14" s="31">
        <f>IFERROR(AVERAGE(B12:B14),"")</f>
        <v/>
      </c>
      <c r="E14" s="24" t="n"/>
      <c r="F14" s="24" t="n"/>
      <c r="G14" s="24" t="n"/>
      <c r="H14" s="24" t="n"/>
      <c r="I14" s="24" t="n"/>
      <c r="J14" s="27">
        <f>IFERROR(H14*I14,"")</f>
        <v/>
      </c>
      <c r="K14" s="24" t="n"/>
      <c r="L14" s="24" t="n"/>
      <c r="M14" s="28" t="n"/>
    </row>
    <row r="15" ht="18" customHeight="1">
      <c r="A15" s="18" t="n">
        <v>46184</v>
      </c>
      <c r="B15" s="19" t="n"/>
      <c r="C15" s="29">
        <f>B15-B14</f>
        <v/>
      </c>
      <c r="D15" s="30">
        <f>IFERROR(AVERAGE(B13:B15),"")</f>
        <v/>
      </c>
      <c r="E15" s="19" t="n"/>
      <c r="F15" s="19" t="n"/>
      <c r="G15" s="19" t="n"/>
      <c r="H15" s="19" t="n"/>
      <c r="I15" s="19" t="n"/>
      <c r="J15" s="21">
        <f>IFERROR(H15*I15,"")</f>
        <v/>
      </c>
      <c r="K15" s="19" t="n"/>
      <c r="L15" s="19" t="n"/>
      <c r="M15" s="22" t="n"/>
    </row>
    <row r="16" ht="18" customHeight="1">
      <c r="A16" s="23" t="n">
        <v>46185</v>
      </c>
      <c r="B16" s="24" t="n"/>
      <c r="C16" s="25">
        <f>B16-B15</f>
        <v/>
      </c>
      <c r="D16" s="31">
        <f>IFERROR(AVERAGE(B14:B16),"")</f>
        <v/>
      </c>
      <c r="E16" s="24" t="n"/>
      <c r="F16" s="24" t="n"/>
      <c r="G16" s="24" t="n"/>
      <c r="H16" s="24" t="n"/>
      <c r="I16" s="24" t="n"/>
      <c r="J16" s="27">
        <f>IFERROR(H16*I16,"")</f>
        <v/>
      </c>
      <c r="K16" s="24" t="n"/>
      <c r="L16" s="24" t="n"/>
      <c r="M16" s="28" t="n"/>
    </row>
    <row r="17" ht="18" customHeight="1">
      <c r="A17" s="18" t="n">
        <v>46186</v>
      </c>
      <c r="B17" s="19" t="n"/>
      <c r="C17" s="29">
        <f>B17-B16</f>
        <v/>
      </c>
      <c r="D17" s="30">
        <f>IFERROR(AVERAGE(B15:B17),"")</f>
        <v/>
      </c>
      <c r="E17" s="19" t="n"/>
      <c r="F17" s="19" t="n"/>
      <c r="G17" s="19" t="n"/>
      <c r="H17" s="19" t="n"/>
      <c r="I17" s="19" t="n"/>
      <c r="J17" s="21">
        <f>IFERROR(H17*I17,"")</f>
        <v/>
      </c>
      <c r="K17" s="19" t="n"/>
      <c r="L17" s="19" t="n"/>
      <c r="M17" s="22" t="n"/>
    </row>
    <row r="18" ht="18" customHeight="1">
      <c r="A18" s="23" t="n">
        <v>46187</v>
      </c>
      <c r="B18" s="24" t="n"/>
      <c r="C18" s="25">
        <f>B18-B17</f>
        <v/>
      </c>
      <c r="D18" s="31">
        <f>IFERROR(AVERAGE(B16:B18),"")</f>
        <v/>
      </c>
      <c r="E18" s="24" t="n"/>
      <c r="F18" s="24" t="n"/>
      <c r="G18" s="24" t="n"/>
      <c r="H18" s="24" t="n"/>
      <c r="I18" s="24" t="n"/>
      <c r="J18" s="27">
        <f>IFERROR(H18*I18,"")</f>
        <v/>
      </c>
      <c r="K18" s="24" t="n"/>
      <c r="L18" s="24" t="n"/>
      <c r="M18" s="28" t="n"/>
    </row>
    <row r="19" ht="18" customHeight="1">
      <c r="A19" s="18" t="n">
        <v>46188</v>
      </c>
      <c r="B19" s="19" t="n"/>
      <c r="C19" s="29">
        <f>B19-B18</f>
        <v/>
      </c>
      <c r="D19" s="30">
        <f>IFERROR(AVERAGE(B17:B19),"")</f>
        <v/>
      </c>
      <c r="E19" s="19" t="n"/>
      <c r="F19" s="19" t="n"/>
      <c r="G19" s="19" t="n"/>
      <c r="H19" s="19" t="n"/>
      <c r="I19" s="19" t="n"/>
      <c r="J19" s="21">
        <f>IFERROR(H19*I19,"")</f>
        <v/>
      </c>
      <c r="K19" s="19" t="n"/>
      <c r="L19" s="19" t="n"/>
      <c r="M19" s="22" t="n"/>
    </row>
    <row r="20" ht="18" customHeight="1">
      <c r="A20" s="23" t="n">
        <v>46189</v>
      </c>
      <c r="B20" s="24" t="n"/>
      <c r="C20" s="25">
        <f>B20-B19</f>
        <v/>
      </c>
      <c r="D20" s="31">
        <f>IFERROR(AVERAGE(B18:B20),"")</f>
        <v/>
      </c>
      <c r="E20" s="24" t="n"/>
      <c r="F20" s="24" t="n"/>
      <c r="G20" s="24" t="n"/>
      <c r="H20" s="24" t="n"/>
      <c r="I20" s="24" t="n"/>
      <c r="J20" s="27">
        <f>IFERROR(H20*I20,"")</f>
        <v/>
      </c>
      <c r="K20" s="24" t="n"/>
      <c r="L20" s="24" t="n"/>
      <c r="M20" s="28" t="n"/>
    </row>
    <row r="21" ht="18" customHeight="1">
      <c r="A21" s="18" t="n">
        <v>46190</v>
      </c>
      <c r="B21" s="19" t="n"/>
      <c r="C21" s="29">
        <f>B21-B20</f>
        <v/>
      </c>
      <c r="D21" s="30">
        <f>IFERROR(AVERAGE(B19:B21),"")</f>
        <v/>
      </c>
      <c r="E21" s="19" t="n"/>
      <c r="F21" s="19" t="n"/>
      <c r="G21" s="19" t="n"/>
      <c r="H21" s="19" t="n"/>
      <c r="I21" s="19" t="n"/>
      <c r="J21" s="21">
        <f>IFERROR(H21*I21,"")</f>
        <v/>
      </c>
      <c r="K21" s="19" t="n"/>
      <c r="L21" s="19" t="n"/>
      <c r="M21" s="22" t="n"/>
    </row>
    <row r="22" ht="18" customHeight="1">
      <c r="A22" s="23" t="n">
        <v>46191</v>
      </c>
      <c r="B22" s="24" t="n"/>
      <c r="C22" s="25">
        <f>B22-B21</f>
        <v/>
      </c>
      <c r="D22" s="31">
        <f>IFERROR(AVERAGE(B20:B22),"")</f>
        <v/>
      </c>
      <c r="E22" s="24" t="n"/>
      <c r="F22" s="24" t="n"/>
      <c r="G22" s="24" t="n"/>
      <c r="H22" s="24" t="n"/>
      <c r="I22" s="24" t="n"/>
      <c r="J22" s="27">
        <f>IFERROR(H22*I22,"")</f>
        <v/>
      </c>
      <c r="K22" s="24" t="n"/>
      <c r="L22" s="24" t="n"/>
      <c r="M22" s="28" t="n"/>
    </row>
    <row r="23" ht="18" customHeight="1">
      <c r="A23" s="18" t="n">
        <v>46192</v>
      </c>
      <c r="B23" s="19" t="n"/>
      <c r="C23" s="29">
        <f>B23-B22</f>
        <v/>
      </c>
      <c r="D23" s="30">
        <f>IFERROR(AVERAGE(B21:B23),"")</f>
        <v/>
      </c>
      <c r="E23" s="19" t="n"/>
      <c r="F23" s="19" t="n"/>
      <c r="G23" s="19" t="n"/>
      <c r="H23" s="19" t="n"/>
      <c r="I23" s="19" t="n"/>
      <c r="J23" s="21">
        <f>IFERROR(H23*I23,"")</f>
        <v/>
      </c>
      <c r="K23" s="19" t="n"/>
      <c r="L23" s="19" t="n"/>
      <c r="M23" s="22" t="n"/>
    </row>
    <row r="24" ht="18" customHeight="1">
      <c r="A24" s="23" t="n">
        <v>46193</v>
      </c>
      <c r="B24" s="24" t="n"/>
      <c r="C24" s="25">
        <f>B24-B23</f>
        <v/>
      </c>
      <c r="D24" s="31">
        <f>IFERROR(AVERAGE(B22:B24),"")</f>
        <v/>
      </c>
      <c r="E24" s="24" t="n"/>
      <c r="F24" s="24" t="n"/>
      <c r="G24" s="24" t="n"/>
      <c r="H24" s="24" t="n"/>
      <c r="I24" s="24" t="n"/>
      <c r="J24" s="27">
        <f>IFERROR(H24*I24,"")</f>
        <v/>
      </c>
      <c r="K24" s="24" t="n"/>
      <c r="L24" s="24" t="n"/>
      <c r="M24" s="28" t="n"/>
    </row>
    <row r="25" ht="18" customHeight="1">
      <c r="A25" s="18" t="n">
        <v>46194</v>
      </c>
      <c r="B25" s="19" t="n"/>
      <c r="C25" s="29">
        <f>B25-B24</f>
        <v/>
      </c>
      <c r="D25" s="30">
        <f>IFERROR(AVERAGE(B23:B25),"")</f>
        <v/>
      </c>
      <c r="E25" s="19" t="n"/>
      <c r="F25" s="19" t="n"/>
      <c r="G25" s="19" t="n"/>
      <c r="H25" s="19" t="n"/>
      <c r="I25" s="19" t="n"/>
      <c r="J25" s="21">
        <f>IFERROR(H25*I25,"")</f>
        <v/>
      </c>
      <c r="K25" s="19" t="n"/>
      <c r="L25" s="19" t="n"/>
      <c r="M25" s="22" t="n"/>
    </row>
    <row r="26" ht="18" customHeight="1">
      <c r="A26" s="23" t="n">
        <v>46195</v>
      </c>
      <c r="B26" s="24" t="n"/>
      <c r="C26" s="25">
        <f>B26-B25</f>
        <v/>
      </c>
      <c r="D26" s="31">
        <f>IFERROR(AVERAGE(B24:B26),"")</f>
        <v/>
      </c>
      <c r="E26" s="24" t="n"/>
      <c r="F26" s="24" t="n"/>
      <c r="G26" s="24" t="n"/>
      <c r="H26" s="24" t="n"/>
      <c r="I26" s="24" t="n"/>
      <c r="J26" s="27">
        <f>IFERROR(H26*I26,"")</f>
        <v/>
      </c>
      <c r="K26" s="24" t="n"/>
      <c r="L26" s="24" t="n"/>
      <c r="M26" s="28" t="n"/>
    </row>
    <row r="27" ht="18" customHeight="1">
      <c r="A27" s="18" t="n">
        <v>46196</v>
      </c>
      <c r="B27" s="19" t="n"/>
      <c r="C27" s="29">
        <f>B27-B26</f>
        <v/>
      </c>
      <c r="D27" s="30">
        <f>IFERROR(AVERAGE(B25:B27),"")</f>
        <v/>
      </c>
      <c r="E27" s="19" t="n"/>
      <c r="F27" s="19" t="n"/>
      <c r="G27" s="19" t="n"/>
      <c r="H27" s="19" t="n"/>
      <c r="I27" s="19" t="n"/>
      <c r="J27" s="21">
        <f>IFERROR(H27*I27,"")</f>
        <v/>
      </c>
      <c r="K27" s="19" t="n"/>
      <c r="L27" s="19" t="n"/>
      <c r="M27" s="22" t="n"/>
    </row>
    <row r="28" ht="18" customHeight="1">
      <c r="A28" s="23" t="n">
        <v>46197</v>
      </c>
      <c r="B28" s="24" t="n"/>
      <c r="C28" s="25">
        <f>B28-B27</f>
        <v/>
      </c>
      <c r="D28" s="31">
        <f>IFERROR(AVERAGE(B26:B28),"")</f>
        <v/>
      </c>
      <c r="E28" s="24" t="n"/>
      <c r="F28" s="24" t="n"/>
      <c r="G28" s="24" t="n"/>
      <c r="H28" s="24" t="n"/>
      <c r="I28" s="24" t="n"/>
      <c r="J28" s="27">
        <f>IFERROR(H28*I28,"")</f>
        <v/>
      </c>
      <c r="K28" s="24" t="n"/>
      <c r="L28" s="24" t="n"/>
      <c r="M28" s="28" t="n"/>
    </row>
    <row r="29" ht="18" customHeight="1">
      <c r="A29" s="18" t="n">
        <v>46198</v>
      </c>
      <c r="B29" s="19" t="n"/>
      <c r="C29" s="29">
        <f>B29-B28</f>
        <v/>
      </c>
      <c r="D29" s="30">
        <f>IFERROR(AVERAGE(B27:B29),"")</f>
        <v/>
      </c>
      <c r="E29" s="19" t="n"/>
      <c r="F29" s="19" t="n"/>
      <c r="G29" s="19" t="n"/>
      <c r="H29" s="19" t="n"/>
      <c r="I29" s="19" t="n"/>
      <c r="J29" s="21">
        <f>IFERROR(H29*I29,"")</f>
        <v/>
      </c>
      <c r="K29" s="19" t="n"/>
      <c r="L29" s="19" t="n"/>
      <c r="M29" s="22" t="n"/>
    </row>
    <row r="30" ht="18" customHeight="1">
      <c r="A30" s="23" t="n">
        <v>46199</v>
      </c>
      <c r="B30" s="24" t="n"/>
      <c r="C30" s="25">
        <f>B30-B29</f>
        <v/>
      </c>
      <c r="D30" s="31">
        <f>IFERROR(AVERAGE(B28:B30),"")</f>
        <v/>
      </c>
      <c r="E30" s="24" t="n"/>
      <c r="F30" s="24" t="n"/>
      <c r="G30" s="24" t="n"/>
      <c r="H30" s="24" t="n"/>
      <c r="I30" s="24" t="n"/>
      <c r="J30" s="27">
        <f>IFERROR(H30*I30,"")</f>
        <v/>
      </c>
      <c r="K30" s="24" t="n"/>
      <c r="L30" s="24" t="n"/>
      <c r="M30" s="28" t="n"/>
    </row>
    <row r="31" ht="18" customHeight="1">
      <c r="A31" s="18" t="n">
        <v>46200</v>
      </c>
      <c r="B31" s="19" t="n"/>
      <c r="C31" s="29">
        <f>B31-B30</f>
        <v/>
      </c>
      <c r="D31" s="30">
        <f>IFERROR(AVERAGE(B29:B31),"")</f>
        <v/>
      </c>
      <c r="E31" s="19" t="n"/>
      <c r="F31" s="19" t="n"/>
      <c r="G31" s="19" t="n"/>
      <c r="H31" s="19" t="n"/>
      <c r="I31" s="19" t="n"/>
      <c r="J31" s="21">
        <f>IFERROR(H31*I31,"")</f>
        <v/>
      </c>
      <c r="K31" s="19" t="n"/>
      <c r="L31" s="19" t="n"/>
      <c r="M31" s="22" t="n"/>
    </row>
    <row r="32" ht="18" customHeight="1">
      <c r="A32" s="23" t="n">
        <v>46201</v>
      </c>
      <c r="B32" s="24" t="n"/>
      <c r="C32" s="25">
        <f>B32-B31</f>
        <v/>
      </c>
      <c r="D32" s="31">
        <f>IFERROR(AVERAGE(B30:B32),"")</f>
        <v/>
      </c>
      <c r="E32" s="24" t="n"/>
      <c r="F32" s="24" t="n"/>
      <c r="G32" s="24" t="n"/>
      <c r="H32" s="24" t="n"/>
      <c r="I32" s="24" t="n"/>
      <c r="J32" s="27">
        <f>IFERROR(H32*I32,"")</f>
        <v/>
      </c>
      <c r="K32" s="24" t="n"/>
      <c r="L32" s="24" t="n"/>
      <c r="M32" s="28" t="n"/>
    </row>
    <row r="33" ht="18" customHeight="1">
      <c r="A33" s="18" t="n">
        <v>46202</v>
      </c>
      <c r="B33" s="19" t="n"/>
      <c r="C33" s="29">
        <f>B33-B32</f>
        <v/>
      </c>
      <c r="D33" s="30">
        <f>IFERROR(AVERAGE(B31:B33),"")</f>
        <v/>
      </c>
      <c r="E33" s="19" t="n"/>
      <c r="F33" s="19" t="n"/>
      <c r="G33" s="19" t="n"/>
      <c r="H33" s="19" t="n"/>
      <c r="I33" s="19" t="n"/>
      <c r="J33" s="21">
        <f>IFERROR(H33*I33,"")</f>
        <v/>
      </c>
      <c r="K33" s="19" t="n"/>
      <c r="L33" s="19" t="n"/>
      <c r="M33" s="22" t="n"/>
    </row>
    <row r="34" ht="18" customHeight="1">
      <c r="A34" s="23" t="n">
        <v>46203</v>
      </c>
      <c r="B34" s="24" t="n"/>
      <c r="C34" s="25">
        <f>B34-B33</f>
        <v/>
      </c>
      <c r="D34" s="31">
        <f>IFERROR(AVERAGE(B32:B34),"")</f>
        <v/>
      </c>
      <c r="E34" s="24" t="n"/>
      <c r="F34" s="24" t="n"/>
      <c r="G34" s="24" t="n"/>
      <c r="H34" s="24" t="n"/>
      <c r="I34" s="24" t="n"/>
      <c r="J34" s="27">
        <f>IFERROR(H34*I34,"")</f>
        <v/>
      </c>
      <c r="K34" s="24" t="n"/>
      <c r="L34" s="24" t="n"/>
      <c r="M34" s="28" t="n"/>
    </row>
  </sheetData>
  <mergeCells count="2">
    <mergeCell ref="A2:M2"/>
    <mergeCell ref="A1:M1"/>
  </mergeCells>
  <conditionalFormatting sqref="C5:C34">
    <cfRule type="cellIs" priority="1" operator="lessThanOrEqual" dxfId="0">
      <formula>-1.0</formula>
    </cfRule>
  </conditionalFormatting>
  <conditionalFormatting sqref="E5:E34">
    <cfRule type="cellIs" priority="2" operator="greaterThanOrEqual" dxfId="1">
      <formula>8</formula>
    </cfRule>
  </conditionalFormatting>
  <conditionalFormatting sqref="K5:K34">
    <cfRule type="cellIs" priority="3" operator="lessThan" dxfId="2">
      <formula>2</formula>
    </cfRule>
  </conditionalFormatting>
  <conditionalFormatting sqref="L5:L34">
    <cfRule type="cellIs" priority="4" operator="lessThan" dxfId="3">
      <formula>2000</formula>
    </cfRule>
  </conditionalFormatting>
  <conditionalFormatting sqref="J5:J34">
    <cfRule type="colorScale" priority="5">
      <colorScale>
        <cfvo type="num" val="0"/>
        <cfvo type="num" val="500"/>
        <cfvo type="num" val="1000"/>
        <color rgb="00DCFCE7"/>
        <color rgb="00FEF9C3"/>
        <color rgb="00FEE2E2"/>
      </colorScale>
    </cfRule>
  </conditionalFormatting>
  <dataValidations count="3">
    <dataValidation sqref="E5:E34" showDropDown="0" showInputMessage="0" showErrorMessage="1" allowBlank="0" errorTitle="入力エラー" error="0〜10の整数を入力してください" type="whole" operator="between">
      <formula1>0</formula1>
      <formula2>10</formula2>
    </dataValidation>
    <dataValidation sqref="G5:G34" showDropDown="0" showInputMessage="0" showErrorMessage="1" allowBlank="0" errorTitle="入力エラー" error="0〜5の整数を入力してください" type="whole" operator="between">
      <formula1>0</formula1>
      <formula2>5</formula2>
    </dataValidation>
    <dataValidation sqref="I5:I34" showDropDown="0" showInputMessage="0" showErrorMessage="1" allowBlank="0" errorTitle="入力エラー" error="0〜10の整数を入力してください" type="whole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8" customWidth="1" min="9" max="9"/>
    <col width="20" customWidth="1" min="10" max="10"/>
  </cols>
  <sheetData>
    <row r="1" ht="30" customHeight="1">
      <c r="A1" s="14" t="inlineStr">
        <is>
          <t>週次サマリー（自動集計）</t>
        </is>
      </c>
    </row>
    <row r="2" ht="16" customHeight="1">
      <c r="A2" s="15" t="inlineStr">
        <is>
          <t>※ 日次記録シートに入力すると自動で集計されます。週の開始は月曜日とします。</t>
        </is>
      </c>
    </row>
    <row r="3" ht="22" customHeight="1">
      <c r="A3" s="16" t="inlineStr">
        <is>
          <t>週</t>
        </is>
      </c>
      <c r="B3" s="16" t="inlineStr">
        <is>
          <t>期間</t>
        </is>
      </c>
      <c r="C3" s="16" t="inlineStr">
        <is>
          <t>平均体重</t>
        </is>
      </c>
      <c r="D3" s="16" t="inlineStr">
        <is>
          <t>体重変化</t>
        </is>
      </c>
      <c r="E3" s="16" t="inlineStr">
        <is>
          <t>平均疲労度</t>
        </is>
      </c>
      <c r="F3" s="16" t="inlineStr">
        <is>
          <t>週合計
負荷</t>
        </is>
      </c>
      <c r="G3" s="16" t="inlineStr">
        <is>
          <t>平均
主食量</t>
        </is>
      </c>
      <c r="H3" s="16" t="inlineStr">
        <is>
          <t>平均
水分量</t>
        </is>
      </c>
      <c r="I3" s="16" t="inlineStr">
        <is>
          <t>平均
睡眠</t>
        </is>
      </c>
      <c r="J3" s="16" t="inlineStr">
        <is>
          <t>コメント・
所見</t>
        </is>
      </c>
    </row>
    <row r="4" ht="16" customHeight="1">
      <c r="A4" s="17" t="inlineStr">
        <is>
          <t>（No.）</t>
        </is>
      </c>
      <c r="B4" s="17" t="inlineStr"/>
      <c r="C4" s="17" t="inlineStr">
        <is>
          <t>(kg)</t>
        </is>
      </c>
      <c r="D4" s="17" t="inlineStr">
        <is>
          <t>(週初→週末)</t>
        </is>
      </c>
      <c r="E4" s="17" t="inlineStr">
        <is>
          <t>(0〜10)</t>
        </is>
      </c>
      <c r="F4" s="17" t="inlineStr">
        <is>
          <t>(分×RPE合計)</t>
        </is>
      </c>
      <c r="G4" s="17" t="inlineStr">
        <is>
          <t>(茶碗/日)</t>
        </is>
      </c>
      <c r="H4" s="17" t="inlineStr">
        <is>
          <t>(mL/日)</t>
        </is>
      </c>
      <c r="I4" s="17" t="inlineStr">
        <is>
          <t>(h/日)</t>
        </is>
      </c>
      <c r="J4" s="17" t="inlineStr"/>
    </row>
    <row r="5" ht="22" customHeight="1">
      <c r="A5" s="32" t="inlineStr">
        <is>
          <t>第1週</t>
        </is>
      </c>
      <c r="B5" s="33" t="inlineStr">
        <is>
          <t>6/1(月)〜6/7(日)</t>
        </is>
      </c>
      <c r="C5" s="34">
        <f>IFERROR(AVERAGE('日次記録'!B5:B11),"")</f>
        <v/>
      </c>
      <c r="D5" s="34">
        <f>IFERROR('日次記録'!B11-'日次記録'!B5,"")</f>
        <v/>
      </c>
      <c r="E5" s="35">
        <f>IFERROR(AVERAGE('日次記録'!E5:E11),"")</f>
        <v/>
      </c>
      <c r="F5" s="35">
        <f>IFERROR(SUM('日次記録'!J5:J11),"")</f>
        <v/>
      </c>
      <c r="G5" s="34">
        <f>IFERROR(AVERAGE('日次記録'!K5:K11),"")</f>
        <v/>
      </c>
      <c r="H5" s="34">
        <f>IFERROR(AVERAGE('日次記録'!L5:L11),"")</f>
        <v/>
      </c>
      <c r="I5" s="34">
        <f>IFERROR(AVERAGE('日次記録'!F5:F11),"")</f>
        <v/>
      </c>
      <c r="J5" s="36" t="inlineStr"/>
    </row>
    <row r="6" ht="22" customHeight="1">
      <c r="A6" s="37" t="inlineStr">
        <is>
          <t>第2週</t>
        </is>
      </c>
      <c r="B6" s="38" t="inlineStr">
        <is>
          <t>6/8(月)〜6/14(日)</t>
        </is>
      </c>
      <c r="C6" s="39">
        <f>IFERROR(AVERAGE('日次記録'!B12:B18),"")</f>
        <v/>
      </c>
      <c r="D6" s="39">
        <f>IFERROR('日次記録'!B18-'日次記録'!B12,"")</f>
        <v/>
      </c>
      <c r="E6" s="40">
        <f>IFERROR(AVERAGE('日次記録'!E12:E18),"")</f>
        <v/>
      </c>
      <c r="F6" s="40">
        <f>IFERROR(SUM('日次記録'!J12:J18),"")</f>
        <v/>
      </c>
      <c r="G6" s="39">
        <f>IFERROR(AVERAGE('日次記録'!K12:K18),"")</f>
        <v/>
      </c>
      <c r="H6" s="39">
        <f>IFERROR(AVERAGE('日次記録'!L12:L18),"")</f>
        <v/>
      </c>
      <c r="I6" s="39">
        <f>IFERROR(AVERAGE('日次記録'!F12:F18),"")</f>
        <v/>
      </c>
      <c r="J6" s="41" t="inlineStr"/>
    </row>
    <row r="7" ht="22" customHeight="1">
      <c r="A7" s="32" t="inlineStr">
        <is>
          <t>第3週</t>
        </is>
      </c>
      <c r="B7" s="33" t="inlineStr">
        <is>
          <t>6/15(月)〜6/21(日)</t>
        </is>
      </c>
      <c r="C7" s="34">
        <f>IFERROR(AVERAGE('日次記録'!B19:B25),"")</f>
        <v/>
      </c>
      <c r="D7" s="34">
        <f>IFERROR('日次記録'!B25-'日次記録'!B19,"")</f>
        <v/>
      </c>
      <c r="E7" s="35">
        <f>IFERROR(AVERAGE('日次記録'!E19:E25),"")</f>
        <v/>
      </c>
      <c r="F7" s="35">
        <f>IFERROR(SUM('日次記録'!J19:J25),"")</f>
        <v/>
      </c>
      <c r="G7" s="34">
        <f>IFERROR(AVERAGE('日次記録'!K19:K25),"")</f>
        <v/>
      </c>
      <c r="H7" s="34">
        <f>IFERROR(AVERAGE('日次記録'!L19:L25),"")</f>
        <v/>
      </c>
      <c r="I7" s="34">
        <f>IFERROR(AVERAGE('日次記録'!F19:F25),"")</f>
        <v/>
      </c>
      <c r="J7" s="36" t="inlineStr"/>
    </row>
    <row r="8" ht="22" customHeight="1">
      <c r="A8" s="37" t="inlineStr">
        <is>
          <t>第4週</t>
        </is>
      </c>
      <c r="B8" s="38" t="inlineStr">
        <is>
          <t>6/22(月)〜6/28(日)</t>
        </is>
      </c>
      <c r="C8" s="39">
        <f>IFERROR(AVERAGE('日次記録'!B26:B32),"")</f>
        <v/>
      </c>
      <c r="D8" s="39">
        <f>IFERROR('日次記録'!B32-'日次記録'!B26,"")</f>
        <v/>
      </c>
      <c r="E8" s="40">
        <f>IFERROR(AVERAGE('日次記録'!E26:E32),"")</f>
        <v/>
      </c>
      <c r="F8" s="40">
        <f>IFERROR(SUM('日次記録'!J26:J32),"")</f>
        <v/>
      </c>
      <c r="G8" s="39">
        <f>IFERROR(AVERAGE('日次記録'!K26:K32),"")</f>
        <v/>
      </c>
      <c r="H8" s="39">
        <f>IFERROR(AVERAGE('日次記録'!L26:L32),"")</f>
        <v/>
      </c>
      <c r="I8" s="39">
        <f>IFERROR(AVERAGE('日次記録'!F26:F32),"")</f>
        <v/>
      </c>
      <c r="J8" s="41" t="inlineStr"/>
    </row>
  </sheetData>
  <mergeCells count="2">
    <mergeCell ref="A1:J1"/>
    <mergeCell ref="A2:J2"/>
  </mergeCells>
  <conditionalFormatting sqref="E5:E8">
    <cfRule type="cellIs" priority="1" operator="greaterThanOrEqual" dxfId="4">
      <formula>7</formula>
    </cfRule>
  </conditionalFormatting>
  <conditionalFormatting sqref="G5:G8">
    <cfRule type="cellIs" priority="2" operator="lessThan" dxfId="5">
      <formula>2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2026-05-24T04:40:54Z</dcterms:created>
  <dcterms:modified xmlns:dcterms="http://purl.org/dc/terms/" xmlns:xsi="http://www.w3.org/2001/XMLSchema-instance" xsi:type="dcterms:W3CDTF">2026-05-24T04:40:54Z</dcterms:modified>
</cp:coreProperties>
</file>